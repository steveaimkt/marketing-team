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요약" sheetId="1" state="visible" r:id="rId3"/>
    <sheet name="여정매트릭스" sheetId="2" state="visible" r:id="rId4"/>
    <sheet name="퍼널_기간별" sheetId="3" state="visible" r:id="rId5"/>
    <sheet name="퍼널_채널기기_90일" sheetId="4" state="visible" r:id="rId6"/>
    <sheet name="이탈점TOP3" sheetId="5" state="visible" r:id="rId7"/>
    <sheet name="재구매_세그먼트" sheetId="6" state="visible" r:id="rId8"/>
  </sheets>
  <definedNames>
    <definedName function="false" hidden="true" localSheetId="1" name="_xlnm._FilterDatabase" vbProcedure="false">여정매트릭스!$A$1:$E$7</definedName>
    <definedName function="false" hidden="true" localSheetId="0" name="_xlnm._FilterDatabase" vbProcedure="false">요약!$A$1:$B$10</definedName>
    <definedName function="false" hidden="true" localSheetId="4" name="_xlnm._FilterDatabase" vbProcedure="false">이탈점TOP3!$A$1:$E$4</definedName>
    <definedName function="false" hidden="true" localSheetId="5" name="_xlnm._FilterDatabase" vbProcedure="false">재구매_세그먼트!$A$1:$G$3</definedName>
    <definedName function="false" hidden="true" localSheetId="2" name="_xlnm._FilterDatabase" vbProcedure="false">퍼널_기간별!$A$1:$K$6</definedName>
    <definedName function="false" hidden="true" localSheetId="3" name="_xlnm._FilterDatabase" vbProcedure="false">퍼널_채널기기_90일!$A$1:$L$8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<sst xmlns="http://schemas.openxmlformats.org/spreadsheetml/2006/main" count="121" uniqueCount="107">
  <si>
    <t xml:space="preserve">항목</t>
  </si>
  <si>
    <t xml:space="preserve">내용</t>
  </si>
  <si>
    <t xml:space="preserve">데이터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</si>
  <si>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샘플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가상의 </t>
    </r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브랜드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화장품</t>
    </r>
    <r>
      <rPr>
        <sz val="11"/>
        <rFont val="Arial"/>
        <family val="0"/>
        <charset val="1"/>
      </rPr>
      <t xml:space="preserve">) · </t>
    </r>
    <r>
      <rPr>
        <sz val="11"/>
        <rFont val="Noto Sans CJK SC"/>
        <family val="2"/>
      </rPr>
      <t xml:space="preserve">수치는 가상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사내 분석용</t>
    </r>
  </si>
  <si>
    <t xml:space="preserve">기준일</t>
  </si>
  <si>
    <t xml:space="preserve">2026-09-01</t>
  </si>
  <si>
    <t xml:space="preserve">주인공 세그먼트</t>
  </si>
  <si>
    <r>
      <rPr>
        <sz val="11"/>
        <rFont val="Noto Sans CJK SC"/>
        <family val="2"/>
      </rPr>
      <t xml:space="preserve">이탈 조짐</t>
    </r>
    <r>
      <rPr>
        <sz val="11"/>
        <rFont val="Arial"/>
        <family val="0"/>
        <charset val="1"/>
      </rPr>
      <t xml:space="preserve">(64</t>
    </r>
    <r>
      <rPr>
        <sz val="11"/>
        <rFont val="Noto Sans CJK SC"/>
        <family val="2"/>
      </rPr>
      <t xml:space="preserve">명</t>
    </r>
    <r>
      <rPr>
        <sz val="11"/>
        <rFont val="Arial"/>
        <family val="0"/>
        <charset val="1"/>
      </rPr>
      <t xml:space="preserve">) · </t>
    </r>
    <r>
      <rPr>
        <sz val="11"/>
        <rFont val="Noto Sans CJK SC"/>
        <family val="2"/>
      </rPr>
      <t xml:space="preserve">잠재 충성</t>
    </r>
    <r>
      <rPr>
        <sz val="11"/>
        <rFont val="Arial"/>
        <family val="0"/>
        <charset val="1"/>
      </rPr>
      <t xml:space="preserve">(76</t>
    </r>
    <r>
      <rPr>
        <sz val="11"/>
        <rFont val="Noto Sans CJK SC"/>
        <family val="2"/>
      </rPr>
      <t xml:space="preserve">명</t>
    </r>
    <r>
      <rPr>
        <sz val="11"/>
        <rFont val="Arial"/>
        <family val="0"/>
        <charset val="1"/>
      </rPr>
      <t xml:space="preserve">) — 065 </t>
    </r>
    <r>
      <rPr>
        <sz val="11"/>
        <rFont val="Noto Sans CJK SC"/>
        <family val="2"/>
      </rPr>
      <t xml:space="preserve">우선 공략</t>
    </r>
  </si>
  <si>
    <t xml:space="preserve">최대 이탈점</t>
  </si>
  <si>
    <r>
      <rPr>
        <sz val="11"/>
        <rFont val="Noto Sans CJK SC"/>
        <family val="2"/>
      </rPr>
      <t xml:space="preserve">구매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결제시작→결제완료 </t>
    </r>
    <r>
      <rPr>
        <sz val="11"/>
        <rFont val="Arial"/>
        <family val="0"/>
        <charset val="1"/>
      </rPr>
      <t xml:space="preserve">5~6</t>
    </r>
    <r>
      <rPr>
        <sz val="11"/>
        <rFont val="Noto Sans CJK SC"/>
        <family val="2"/>
      </rPr>
      <t xml:space="preserve">월 </t>
    </r>
    <r>
      <rPr>
        <sz val="11"/>
        <rFont val="Arial"/>
        <family val="0"/>
        <charset val="1"/>
      </rPr>
      <t xml:space="preserve">48.4% → 7</t>
    </r>
    <r>
      <rPr>
        <sz val="11"/>
        <rFont val="Noto Sans CJK SC"/>
        <family val="2"/>
      </rPr>
      <t xml:space="preserve">월 </t>
    </r>
    <r>
      <rPr>
        <sz val="11"/>
        <rFont val="Arial"/>
        <family val="0"/>
        <charset val="1"/>
      </rPr>
      <t xml:space="preserve">22.2% (</t>
    </r>
    <r>
      <rPr>
        <sz val="11"/>
        <rFont val="Noto Sans CJK SC"/>
        <family val="2"/>
      </rPr>
      <t xml:space="preserve">실제 감소인지 확인 필요</t>
    </r>
    <r>
      <rPr>
        <sz val="11"/>
        <rFont val="Arial"/>
        <family val="0"/>
        <charset val="1"/>
      </rPr>
      <t xml:space="preserve">)</t>
    </r>
  </si>
  <si>
    <t xml:space="preserve">감정 최저점</t>
  </si>
  <si>
    <r>
      <rPr>
        <sz val="11"/>
        <rFont val="Noto Sans CJK SC"/>
        <family val="2"/>
      </rPr>
      <t xml:space="preserve">구매 </t>
    </r>
    <r>
      <rPr>
        <sz val="11"/>
        <rFont val="Arial"/>
        <family val="0"/>
        <charset val="1"/>
      </rPr>
      <t xml:space="preserve">-2 [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] · </t>
    </r>
    <r>
      <rPr>
        <sz val="11"/>
        <rFont val="Noto Sans CJK SC"/>
        <family val="2"/>
      </rPr>
      <t xml:space="preserve">재구매 </t>
    </r>
    <r>
      <rPr>
        <sz val="11"/>
        <rFont val="Arial"/>
        <family val="0"/>
        <charset val="1"/>
      </rPr>
      <t xml:space="preserve">-2 (</t>
    </r>
    <r>
      <rPr>
        <sz val="11"/>
        <rFont val="Noto Sans CJK SC"/>
        <family val="2"/>
      </rPr>
      <t xml:space="preserve">리뷰 인용</t>
    </r>
    <r>
      <rPr>
        <sz val="11"/>
        <rFont val="Arial"/>
        <family val="0"/>
        <charset val="1"/>
      </rPr>
      <t xml:space="preserve">)</t>
    </r>
  </si>
  <si>
    <t xml:space="preserve">체인 우선순위</t>
  </si>
  <si>
    <r>
      <rPr>
        <sz val="11"/>
        <rFont val="Noto Sans CJK SC"/>
        <family val="2"/>
      </rPr>
      <t xml:space="preserve">재구매 알림 공백 → </t>
    </r>
    <r>
      <rPr>
        <sz val="11"/>
        <rFont val="Arial"/>
        <family val="0"/>
        <charset val="1"/>
      </rPr>
      <t xml:space="preserve">075 </t>
    </r>
    <r>
      <rPr>
        <sz val="11"/>
        <rFont val="Noto Sans CJK SC"/>
        <family val="2"/>
      </rPr>
      <t xml:space="preserve">카카오 알림 설계 → </t>
    </r>
    <r>
      <rPr>
        <sz val="11"/>
        <rFont val="Arial"/>
        <family val="0"/>
        <charset val="1"/>
      </rPr>
      <t xml:space="preserve">077 </t>
    </r>
    <r>
      <rPr>
        <sz val="11"/>
        <rFont val="Noto Sans CJK SC"/>
        <family val="2"/>
      </rPr>
      <t xml:space="preserve">이탈 고객 되찾기</t>
    </r>
  </si>
  <si>
    <t xml:space="preserve">체인 밖 권고</t>
  </si>
  <si>
    <r>
      <rPr>
        <sz val="11"/>
        <rFont val="Noto Sans CJK SC"/>
        <family val="2"/>
      </rPr>
      <t xml:space="preserve">운영자가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영업일 안에 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월 실제 결제완료 주문 수를 퍼널 </t>
    </r>
    <r>
      <rPr>
        <sz val="11"/>
        <rFont val="Arial"/>
        <family val="0"/>
        <charset val="1"/>
      </rPr>
      <t xml:space="preserve">275</t>
    </r>
    <r>
      <rPr>
        <sz val="11"/>
        <rFont val="Noto Sans CJK SC"/>
        <family val="2"/>
      </rPr>
      <t xml:space="preserve">건과 대조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실제 감소면 </t>
    </r>
    <r>
      <rPr>
        <sz val="11"/>
        <rFont val="Arial"/>
        <family val="0"/>
        <charset val="1"/>
      </rPr>
      <t xml:space="preserve">048 </t>
    </r>
    <r>
      <rPr>
        <sz val="11"/>
        <rFont val="Noto Sans CJK SC"/>
        <family val="2"/>
      </rPr>
      <t xml:space="preserve">진단</t>
    </r>
    <r>
      <rPr>
        <sz val="11"/>
        <rFont val="Arial"/>
        <family val="0"/>
        <charset val="1"/>
      </rPr>
      <t xml:space="preserve">, 077 </t>
    </r>
    <r>
      <rPr>
        <sz val="11"/>
        <rFont val="Noto Sans CJK SC"/>
        <family val="2"/>
      </rPr>
      <t xml:space="preserve">할인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쿠폰 발송만 보류</t>
    </r>
  </si>
  <si>
    <t xml:space="preserve">자료 충돌</t>
  </si>
  <si>
    <r>
      <rPr>
        <sz val="11"/>
        <rFont val="Noto Sans CJK SC"/>
        <family val="2"/>
      </rPr>
      <t xml:space="preserve">퍼널 파일</t>
    </r>
    <r>
      <rPr>
        <sz val="11"/>
        <rFont val="Arial"/>
        <family val="0"/>
        <charset val="1"/>
      </rPr>
      <t xml:space="preserve">(90</t>
    </r>
    <r>
      <rPr>
        <sz val="11"/>
        <rFont val="Noto Sans CJK SC"/>
        <family val="2"/>
      </rPr>
      <t xml:space="preserve">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과 구매이력 파일</t>
    </r>
    <r>
      <rPr>
        <sz val="11"/>
        <rFont val="Arial"/>
        <family val="0"/>
        <charset val="1"/>
      </rPr>
      <t xml:space="preserve">(8</t>
    </r>
    <r>
      <rPr>
        <sz val="11"/>
        <rFont val="Noto Sans CJK SC"/>
        <family val="2"/>
      </rPr>
      <t xml:space="preserve">개월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은 기준이 달라 서로 더하거나 나누지 않음</t>
    </r>
  </si>
  <si>
    <t xml:space="preserve">사업 검토</t>
  </si>
  <si>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사업검토자 경영 관점 </t>
    </r>
    <r>
      <rPr>
        <sz val="11"/>
        <rFont val="Arial"/>
        <family val="0"/>
        <charset val="1"/>
      </rPr>
      <t xml:space="preserve">· 3</t>
    </r>
    <r>
      <rPr>
        <sz val="11"/>
        <rFont val="Noto Sans CJK SC"/>
        <family val="2"/>
      </rPr>
      <t xml:space="preserve">차 승인</t>
    </r>
  </si>
  <si>
    <t xml:space="preserve">행</t>
  </si>
  <si>
    <t xml:space="preserve">인지</t>
  </si>
  <si>
    <t xml:space="preserve">탐색</t>
  </si>
  <si>
    <t xml:space="preserve">구매</t>
  </si>
  <si>
    <t xml:space="preserve">재구매</t>
  </si>
  <si>
    <t xml:space="preserve">터치포인트</t>
  </si>
  <si>
    <r>
      <rPr>
        <sz val="11"/>
        <rFont val="Noto Sans CJK SC"/>
        <family val="2"/>
      </rPr>
      <t xml:space="preserve">유료검색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메타 광고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자연검색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인스타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뉴스레터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유튜브 공백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블로그 간헐</t>
    </r>
  </si>
  <si>
    <r>
      <rPr>
        <sz val="11"/>
        <rFont val="Noto Sans CJK SC"/>
        <family val="2"/>
      </rPr>
      <t xml:space="preserve">회원가입 → 상세페이지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전성분</t>
    </r>
    <r>
      <rPr>
        <sz val="11"/>
        <rFont val="Arial"/>
        <family val="0"/>
        <charset val="1"/>
      </rPr>
      <t xml:space="preserve">) → </t>
    </r>
    <r>
      <rPr>
        <sz val="11"/>
        <rFont val="Noto Sans CJK SC"/>
        <family val="2"/>
      </rPr>
      <t xml:space="preserve">리뷰</t>
    </r>
  </si>
  <si>
    <t xml:space="preserve">장바구니 → 결제 페이지 → 배송</t>
  </si>
  <si>
    <r>
      <rPr>
        <sz val="11"/>
        <rFont val="Noto Sans CJK SC"/>
        <family val="2"/>
      </rPr>
      <t xml:space="preserve">재구매 알림 공백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카카오 채널 공백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이메일 월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회</t>
    </r>
  </si>
  <si>
    <t xml:space="preserve">행동</t>
  </si>
  <si>
    <r>
      <rPr>
        <sz val="11"/>
        <rFont val="Noto Sans CJK SC"/>
        <family val="2"/>
      </rPr>
      <t xml:space="preserve">유입 </t>
    </r>
    <r>
      <rPr>
        <sz val="11"/>
        <rFont val="Arial"/>
        <family val="0"/>
        <charset val="1"/>
      </rPr>
      <t xml:space="preserve">190,290 · </t>
    </r>
    <r>
      <rPr>
        <sz val="11"/>
        <rFont val="Noto Sans CJK SC"/>
        <family val="2"/>
      </rPr>
      <t xml:space="preserve">채널별 가입률 </t>
    </r>
    <r>
      <rPr>
        <sz val="11"/>
        <rFont val="Arial"/>
        <family val="0"/>
        <charset val="1"/>
      </rPr>
      <t xml:space="preserve">9.0~17.8%</t>
    </r>
  </si>
  <si>
    <r>
      <rPr>
        <sz val="11"/>
        <rFont val="Noto Sans CJK SC"/>
        <family val="2"/>
      </rPr>
      <t xml:space="preserve">유입의 </t>
    </r>
    <r>
      <rPr>
        <sz val="11"/>
        <rFont val="Arial"/>
        <family val="0"/>
        <charset val="1"/>
      </rPr>
      <t xml:space="preserve">12.6% </t>
    </r>
    <r>
      <rPr>
        <sz val="11"/>
        <rFont val="Noto Sans CJK SC"/>
        <family val="2"/>
      </rPr>
      <t xml:space="preserve">가입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가입자의 </t>
    </r>
    <r>
      <rPr>
        <sz val="11"/>
        <rFont val="Arial"/>
        <family val="0"/>
        <charset val="1"/>
      </rPr>
      <t xml:space="preserve">28.6% </t>
    </r>
    <r>
      <rPr>
        <sz val="11"/>
        <rFont val="Noto Sans CJK SC"/>
        <family val="2"/>
      </rPr>
      <t xml:space="preserve">장바구니</t>
    </r>
  </si>
  <si>
    <r>
      <rPr>
        <sz val="11"/>
        <rFont val="Noto Sans CJK SC"/>
        <family val="2"/>
      </rPr>
      <t xml:space="preserve">장바구니의 </t>
    </r>
    <r>
      <rPr>
        <sz val="11"/>
        <rFont val="Arial"/>
        <family val="0"/>
        <charset val="1"/>
      </rPr>
      <t xml:space="preserve">55.6% </t>
    </r>
    <r>
      <rPr>
        <sz val="11"/>
        <rFont val="Noto Sans CJK SC"/>
        <family val="2"/>
      </rPr>
      <t xml:space="preserve">결제 시작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결제완료 </t>
    </r>
    <r>
      <rPr>
        <sz val="11"/>
        <rFont val="Arial"/>
        <family val="0"/>
        <charset val="1"/>
      </rPr>
      <t xml:space="preserve">5~6</t>
    </r>
    <r>
      <rPr>
        <sz val="11"/>
        <rFont val="Noto Sans CJK SC"/>
        <family val="2"/>
      </rPr>
      <t xml:space="preserve">월 </t>
    </r>
    <r>
      <rPr>
        <sz val="11"/>
        <rFont val="Arial"/>
        <family val="0"/>
        <charset val="1"/>
      </rPr>
      <t xml:space="preserve">48.4% → 7</t>
    </r>
    <r>
      <rPr>
        <sz val="11"/>
        <rFont val="Noto Sans CJK SC"/>
        <family val="2"/>
      </rPr>
      <t xml:space="preserve">월 </t>
    </r>
    <r>
      <rPr>
        <sz val="11"/>
        <rFont val="Arial"/>
        <family val="0"/>
        <charset val="1"/>
      </rPr>
      <t xml:space="preserve">22.2%</t>
    </r>
  </si>
  <si>
    <r>
      <rPr>
        <sz val="11"/>
        <rFont val="Noto Sans CJK SC"/>
        <family val="2"/>
      </rPr>
      <t xml:space="preserve">재구매 간격 중앙값 </t>
    </r>
    <r>
      <rPr>
        <sz val="11"/>
        <rFont val="Arial"/>
        <family val="0"/>
        <charset val="1"/>
      </rPr>
      <t xml:space="preserve">77</t>
    </r>
    <r>
      <rPr>
        <sz val="11"/>
        <rFont val="Noto Sans CJK SC"/>
        <family val="2"/>
      </rPr>
      <t xml:space="preserve">일 </t>
    </r>
    <r>
      <rPr>
        <sz val="11"/>
        <rFont val="Arial"/>
        <family val="0"/>
        <charset val="1"/>
      </rPr>
      <t xml:space="preserve">· M+2~M+5</t>
    </r>
    <r>
      <rPr>
        <sz val="11"/>
        <rFont val="Noto Sans CJK SC"/>
        <family val="2"/>
      </rPr>
      <t xml:space="preserve">에 몰림</t>
    </r>
  </si>
  <si>
    <r>
      <rPr>
        <sz val="11"/>
        <rFont val="Noto Sans CJK SC"/>
        <family val="2"/>
      </rPr>
      <t xml:space="preserve">감정</t>
    </r>
    <r>
      <rPr>
        <sz val="11"/>
        <rFont val="Arial"/>
        <family val="0"/>
        <charset val="1"/>
      </rPr>
      <t xml:space="preserve">(-2~+2)</t>
    </r>
  </si>
  <si>
    <t xml:space="preserve">감정 근거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</si>
  <si>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다른 제품에 뒤집힌 경험으로 대안 탐색</t>
    </r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</si>
  <si>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전성분 공개 신뢰 ↔ 가입 벽</t>
    </r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</si>
  <si>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] 7</t>
    </r>
    <r>
      <rPr>
        <sz val="11"/>
        <rFont val="Noto Sans CJK SC"/>
        <family val="2"/>
      </rPr>
      <t xml:space="preserve">월 결제 급락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가격 비교 리뷰</t>
    </r>
  </si>
  <si>
    <r>
      <rPr>
        <sz val="11"/>
        <rFont val="Noto Sans CJK SC"/>
        <family val="2"/>
      </rPr>
      <t xml:space="preserve">리뷰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「다 쓴 줄도 몰랐다」</t>
    </r>
  </si>
  <si>
    <t xml:space="preserve">마찰</t>
  </si>
  <si>
    <r>
      <rPr>
        <sz val="11"/>
        <rFont val="Noto Sans CJK SC"/>
        <family val="2"/>
      </rPr>
      <t xml:space="preserve">인스타 유입 가입률 </t>
    </r>
    <r>
      <rPr>
        <sz val="11"/>
        <rFont val="Arial"/>
        <family val="0"/>
        <charset val="1"/>
      </rPr>
      <t xml:space="preserve">9.0%</t>
    </r>
  </si>
  <si>
    <r>
      <rPr>
        <sz val="11"/>
        <rFont val="Noto Sans CJK SC"/>
        <family val="2"/>
      </rPr>
      <t xml:space="preserve">유입→가입 </t>
    </r>
    <r>
      <rPr>
        <sz val="11"/>
        <rFont val="Arial"/>
        <family val="0"/>
        <charset val="1"/>
      </rPr>
      <t xml:space="preserve">87.4% </t>
    </r>
    <r>
      <rPr>
        <sz val="11"/>
        <rFont val="Noto Sans CJK SC"/>
        <family val="2"/>
      </rPr>
      <t xml:space="preserve">이탈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가입→장바구니 모바일 </t>
    </r>
    <r>
      <rPr>
        <sz val="11"/>
        <rFont val="Arial"/>
        <family val="0"/>
        <charset val="1"/>
      </rPr>
      <t xml:space="preserve">26.5% vs PC 36.0%</t>
    </r>
  </si>
  <si>
    <r>
      <rPr>
        <sz val="11"/>
        <rFont val="Arial"/>
        <family val="0"/>
        <charset val="1"/>
      </rPr>
      <t xml:space="preserve">7/1</t>
    </r>
    <r>
      <rPr>
        <sz val="11"/>
        <rFont val="Noto Sans CJK SC"/>
        <family val="2"/>
      </rPr>
      <t xml:space="preserve">부터 결제완료율 반 토막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전 채널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기기 같은 폭</t>
    </r>
  </si>
  <si>
    <r>
      <rPr>
        <sz val="11"/>
        <rFont val="Noto Sans CJK SC"/>
        <family val="2"/>
      </rPr>
      <t xml:space="preserve">리마인드 접점 없음 </t>
    </r>
    <r>
      <rPr>
        <sz val="11"/>
        <rFont val="Arial"/>
        <family val="0"/>
        <charset val="1"/>
      </rPr>
      <t xml:space="preserve">· 120</t>
    </r>
    <r>
      <rPr>
        <sz val="11"/>
        <rFont val="Noto Sans CJK SC"/>
        <family val="2"/>
      </rPr>
      <t xml:space="preserve">일 넘긴 고객 </t>
    </r>
    <r>
      <rPr>
        <sz val="11"/>
        <rFont val="Arial"/>
        <family val="0"/>
        <charset val="1"/>
      </rPr>
      <t xml:space="preserve">110</t>
    </r>
    <r>
      <rPr>
        <sz val="11"/>
        <rFont val="Noto Sans CJK SC"/>
        <family val="2"/>
      </rPr>
      <t xml:space="preserve">명</t>
    </r>
  </si>
  <si>
    <t xml:space="preserve">개입 스킬</t>
  </si>
  <si>
    <t xml:space="preserve">039 · 043</t>
  </si>
  <si>
    <t xml:space="preserve">048 · 051</t>
  </si>
  <si>
    <r>
      <rPr>
        <sz val="11"/>
        <rFont val="Noto Sans CJK SC"/>
        <family val="2"/>
      </rPr>
      <t xml:space="preserve">체인 밖 확인 → </t>
    </r>
    <r>
      <rPr>
        <sz val="11"/>
        <rFont val="Arial"/>
        <family val="0"/>
        <charset val="1"/>
      </rPr>
      <t xml:space="preserve">048 · 074</t>
    </r>
  </si>
  <si>
    <t xml:space="preserve">075 · 077 · 074</t>
  </si>
  <si>
    <t xml:space="preserve">기간</t>
  </si>
  <si>
    <t xml:space="preserve">유입</t>
  </si>
  <si>
    <t xml:space="preserve">가입</t>
  </si>
  <si>
    <t xml:space="preserve">장바구니</t>
  </si>
  <si>
    <t xml:space="preserve">결제시작</t>
  </si>
  <si>
    <t xml:space="preserve">결제완료</t>
  </si>
  <si>
    <t xml:space="preserve">가입률</t>
  </si>
  <si>
    <t xml:space="preserve">가입→장바구니</t>
  </si>
  <si>
    <t xml:space="preserve">장바구니→결제시작</t>
  </si>
  <si>
    <t xml:space="preserve">결제시작→결제완료</t>
  </si>
  <si>
    <t xml:space="preserve">유입→결제완료</t>
  </si>
  <si>
    <t xml:space="preserve">2026-05</t>
  </si>
  <si>
    <t xml:space="preserve">2026-06</t>
  </si>
  <si>
    <r>
      <rPr>
        <sz val="11"/>
        <rFont val="Arial"/>
        <family val="0"/>
        <charset val="1"/>
      </rPr>
      <t xml:space="preserve">2026-07 (1~29</t>
    </r>
    <r>
      <rPr>
        <sz val="11"/>
        <rFont val="Noto Sans CJK SC"/>
        <family val="2"/>
      </rPr>
      <t xml:space="preserve">일</t>
    </r>
    <r>
      <rPr>
        <sz val="11"/>
        <rFont val="Arial"/>
        <family val="0"/>
        <charset val="1"/>
      </rPr>
      <t xml:space="preserve">)</t>
    </r>
  </si>
  <si>
    <t xml:space="preserve">6/24~6/30</t>
  </si>
  <si>
    <t xml:space="preserve">7/1~7/7</t>
  </si>
  <si>
    <t xml:space="preserve">구분</t>
  </si>
  <si>
    <r>
      <rPr>
        <b val="true"/>
        <sz val="11"/>
        <rFont val="Noto Sans CJK SC"/>
        <family val="2"/>
      </rPr>
      <t xml:space="preserve">결제완료율 </t>
    </r>
    <r>
      <rPr>
        <b val="true"/>
        <sz val="11"/>
        <rFont val="Arial"/>
        <family val="0"/>
        <charset val="1"/>
      </rPr>
      <t xml:space="preserve">5~6</t>
    </r>
    <r>
      <rPr>
        <b val="true"/>
        <sz val="11"/>
        <rFont val="Noto Sans CJK SC"/>
        <family val="2"/>
      </rPr>
      <t xml:space="preserve">월</t>
    </r>
  </si>
  <si>
    <r>
      <rPr>
        <b val="true"/>
        <sz val="11"/>
        <rFont val="Noto Sans CJK SC"/>
        <family val="2"/>
      </rPr>
      <t xml:space="preserve">결제완료율 </t>
    </r>
    <r>
      <rPr>
        <b val="true"/>
        <sz val="11"/>
        <rFont val="Arial"/>
        <family val="0"/>
        <charset val="1"/>
      </rPr>
      <t xml:space="preserve">7</t>
    </r>
    <r>
      <rPr>
        <b val="true"/>
        <sz val="11"/>
        <rFont val="Noto Sans CJK SC"/>
        <family val="2"/>
      </rPr>
      <t xml:space="preserve">월</t>
    </r>
  </si>
  <si>
    <t xml:space="preserve">메타광고</t>
  </si>
  <si>
    <t xml:space="preserve">유료검색</t>
  </si>
  <si>
    <t xml:space="preserve">자연검색</t>
  </si>
  <si>
    <t xml:space="preserve">인스타</t>
  </si>
  <si>
    <t xml:space="preserve">뉴스레터</t>
  </si>
  <si>
    <t xml:space="preserve">모바일</t>
  </si>
  <si>
    <t xml:space="preserve">PC</t>
  </si>
  <si>
    <r>
      <rPr>
        <sz val="11"/>
        <color theme="1"/>
        <rFont val="Noto Sans CJK SC"/>
        <family val="2"/>
      </rPr>
      <t xml:space="preserve">메모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결제완료율 </t>
    </r>
    <r>
      <rPr>
        <sz val="11"/>
        <color theme="1"/>
        <rFont val="Calibri"/>
        <family val="2"/>
        <charset val="1"/>
      </rPr>
      <t xml:space="preserve">5~6</t>
    </r>
    <r>
      <rPr>
        <sz val="11"/>
        <color theme="1"/>
        <rFont val="Noto Sans CJK SC"/>
        <family val="2"/>
      </rPr>
      <t xml:space="preserve">월</t>
    </r>
    <r>
      <rPr>
        <sz val="11"/>
        <color theme="1"/>
        <rFont val="Calibri"/>
        <family val="2"/>
        <charset val="1"/>
      </rPr>
      <t xml:space="preserve">·7</t>
    </r>
    <r>
      <rPr>
        <sz val="11"/>
        <color theme="1"/>
        <rFont val="Noto Sans CJK SC"/>
        <family val="2"/>
      </rPr>
      <t xml:space="preserve">월 열은 일별 원자료를 기간별로 합산해 계산한 값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결제완료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결제시작</t>
    </r>
    <r>
      <rPr>
        <sz val="11"/>
        <color theme="1"/>
        <rFont val="Calibri"/>
        <family val="2"/>
        <charset val="1"/>
      </rPr>
      <t xml:space="preserve">)</t>
    </r>
  </si>
  <si>
    <t xml:space="preserve">순위</t>
  </si>
  <si>
    <t xml:space="preserve">지점</t>
  </si>
  <si>
    <t xml:space="preserve">모집단</t>
  </si>
  <si>
    <t xml:space="preserve">근거</t>
  </si>
  <si>
    <r>
      <rPr>
        <sz val="11"/>
        <rFont val="Noto Sans CJK SC"/>
        <family val="2"/>
      </rPr>
      <t xml:space="preserve">구매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결제시작→결제완료</t>
    </r>
  </si>
  <si>
    <r>
      <rPr>
        <sz val="11"/>
        <rFont val="Noto Sans CJK SC"/>
        <family val="2"/>
      </rPr>
      <t xml:space="preserve">전체 방문자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퍼널 파일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</si>
  <si>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5~6</t>
    </r>
    <r>
      <rPr>
        <sz val="11"/>
        <rFont val="Noto Sans CJK SC"/>
        <family val="2"/>
      </rPr>
      <t xml:space="preserve">월 </t>
    </r>
    <r>
      <rPr>
        <sz val="11"/>
        <rFont val="Arial"/>
        <family val="0"/>
        <charset val="1"/>
      </rPr>
      <t xml:space="preserve">48.4% → 7</t>
    </r>
    <r>
      <rPr>
        <sz val="11"/>
        <rFont val="Noto Sans CJK SC"/>
        <family val="2"/>
      </rPr>
      <t xml:space="preserve">월 </t>
    </r>
    <r>
      <rPr>
        <sz val="11"/>
        <rFont val="Arial"/>
        <family val="0"/>
        <charset val="1"/>
      </rPr>
      <t xml:space="preserve">22.2% · 7/1 </t>
    </r>
    <r>
      <rPr>
        <sz val="11"/>
        <rFont val="Noto Sans CJK SC"/>
        <family val="2"/>
      </rPr>
      <t xml:space="preserve">첫 주 </t>
    </r>
    <r>
      <rPr>
        <sz val="11"/>
        <rFont val="Arial"/>
        <family val="0"/>
        <charset val="1"/>
      </rPr>
      <t xml:space="preserve">22.4%, </t>
    </r>
    <r>
      <rPr>
        <sz val="11"/>
        <rFont val="Noto Sans CJK SC"/>
        <family val="2"/>
      </rPr>
      <t xml:space="preserve">직전 주 </t>
    </r>
    <r>
      <rPr>
        <sz val="11"/>
        <rFont val="Arial"/>
        <family val="0"/>
        <charset val="1"/>
      </rPr>
      <t xml:space="preserve">49.0% · </t>
    </r>
    <r>
      <rPr>
        <sz val="11"/>
        <rFont val="Noto Sans CJK SC"/>
        <family val="2"/>
      </rPr>
      <t xml:space="preserve">채널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기기 무관 같은 폭</t>
    </r>
  </si>
  <si>
    <r>
      <rPr>
        <sz val="11"/>
        <rFont val="Noto Sans CJK SC"/>
        <family val="2"/>
      </rPr>
      <t xml:space="preserve">체인 밖 </t>
    </r>
    <r>
      <rPr>
        <sz val="11"/>
        <rFont val="Arial"/>
        <family val="0"/>
        <charset val="1"/>
      </rPr>
      <t xml:space="preserve">· 7</t>
    </r>
    <r>
      <rPr>
        <sz val="11"/>
        <rFont val="Noto Sans CJK SC"/>
        <family val="2"/>
      </rPr>
      <t xml:space="preserve">월 주문 수 대조 → 필요하면 </t>
    </r>
    <r>
      <rPr>
        <sz val="11"/>
        <rFont val="Arial"/>
        <family val="0"/>
        <charset val="1"/>
      </rPr>
      <t xml:space="preserve">048</t>
    </r>
  </si>
  <si>
    <r>
      <rPr>
        <sz val="11"/>
        <rFont val="Noto Sans CJK SC"/>
        <family val="2"/>
      </rPr>
      <t xml:space="preserve">재구매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알림 공백</t>
    </r>
  </si>
  <si>
    <r>
      <rPr>
        <sz val="11"/>
        <rFont val="Noto Sans CJK SC"/>
        <family val="2"/>
      </rPr>
      <t xml:space="preserve">기존 구매 고객 </t>
    </r>
    <r>
      <rPr>
        <sz val="11"/>
        <rFont val="Arial"/>
        <family val="0"/>
        <charset val="1"/>
      </rPr>
      <t xml:space="preserve">320</t>
    </r>
    <r>
      <rPr>
        <sz val="11"/>
        <rFont val="Noto Sans CJK SC"/>
        <family val="2"/>
      </rPr>
      <t xml:space="preserve">명 </t>
    </r>
    <r>
      <rPr>
        <sz val="11"/>
        <rFont val="Arial"/>
        <family val="0"/>
        <charset val="1"/>
      </rPr>
      <t xml:space="preserve">(065)</t>
    </r>
  </si>
  <si>
    <r>
      <rPr>
        <sz val="11"/>
        <rFont val="Arial"/>
        <family val="0"/>
        <charset val="1"/>
      </rPr>
      <t xml:space="preserve">120</t>
    </r>
    <r>
      <rPr>
        <sz val="11"/>
        <rFont val="Noto Sans CJK SC"/>
        <family val="2"/>
      </rPr>
      <t xml:space="preserve">일 넘긴 </t>
    </r>
    <r>
      <rPr>
        <sz val="11"/>
        <rFont val="Arial"/>
        <family val="0"/>
        <charset val="1"/>
      </rPr>
      <t xml:space="preserve">110</t>
    </r>
    <r>
      <rPr>
        <sz val="11"/>
        <rFont val="Noto Sans CJK SC"/>
        <family val="2"/>
      </rPr>
      <t xml:space="preserve">명</t>
    </r>
    <r>
      <rPr>
        <sz val="11"/>
        <rFont val="Arial"/>
        <family val="0"/>
        <charset val="1"/>
      </rPr>
      <t xml:space="preserve">(34.4%) · </t>
    </r>
    <r>
      <rPr>
        <sz val="11"/>
        <rFont val="Noto Sans CJK SC"/>
        <family val="2"/>
      </rPr>
      <t xml:space="preserve">리뷰 「다 쓴 줄도 몰랐다」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감정 </t>
    </r>
    <r>
      <rPr>
        <sz val="11"/>
        <rFont val="Arial"/>
        <family val="0"/>
        <charset val="1"/>
      </rPr>
      <t xml:space="preserve">-2</t>
    </r>
  </si>
  <si>
    <r>
      <rPr>
        <sz val="11"/>
        <rFont val="Noto Sans CJK SC"/>
        <family val="2"/>
      </rPr>
      <t xml:space="preserve">탐색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가입→장바구니</t>
    </r>
  </si>
  <si>
    <r>
      <rPr>
        <sz val="11"/>
        <rFont val="Noto Sans CJK SC"/>
        <family val="2"/>
      </rPr>
      <t xml:space="preserve">가입자의 </t>
    </r>
    <r>
      <rPr>
        <sz val="11"/>
        <rFont val="Arial"/>
        <family val="0"/>
        <charset val="1"/>
      </rPr>
      <t xml:space="preserve">71.4% </t>
    </r>
    <r>
      <rPr>
        <sz val="11"/>
        <rFont val="Noto Sans CJK SC"/>
        <family val="2"/>
      </rPr>
      <t xml:space="preserve">이탈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모바일 </t>
    </r>
    <r>
      <rPr>
        <sz val="11"/>
        <rFont val="Arial"/>
        <family val="0"/>
        <charset val="1"/>
      </rPr>
      <t xml:space="preserve">26.5% vs PC 36.0%</t>
    </r>
  </si>
  <si>
    <t xml:space="preserve">세그먼트</t>
  </si>
  <si>
    <t xml:space="preserve">인원</t>
  </si>
  <si>
    <t xml:space="preserve">매출 기여</t>
  </si>
  <si>
    <t xml:space="preserve">지금 어디</t>
  </si>
  <si>
    <t xml:space="preserve">감정</t>
  </si>
  <si>
    <t xml:space="preserve">개입</t>
  </si>
  <si>
    <t xml:space="preserve">잠재 충성</t>
  </si>
  <si>
    <r>
      <rPr>
        <sz val="11"/>
        <rFont val="Noto Sans CJK SC"/>
        <family val="2"/>
      </rPr>
      <t xml:space="preserve">첫 구매 후 </t>
    </r>
    <r>
      <rPr>
        <sz val="11"/>
        <rFont val="Arial"/>
        <family val="0"/>
        <charset val="1"/>
      </rPr>
      <t xml:space="preserve">33~107</t>
    </r>
    <r>
      <rPr>
        <sz val="11"/>
        <rFont val="Noto Sans CJK SC"/>
        <family val="2"/>
      </rPr>
      <t xml:space="preserve">일</t>
    </r>
  </si>
  <si>
    <r>
      <rPr>
        <sz val="11"/>
        <rFont val="Arial"/>
        <family val="0"/>
        <charset val="1"/>
      </rPr>
      <t xml:space="preserve">-1 [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]</t>
    </r>
  </si>
  <si>
    <t xml:space="preserve">소진 시점에 떠올릴 계기 없음</t>
  </si>
  <si>
    <r>
      <rPr>
        <sz val="11"/>
        <rFont val="Arial"/>
        <family val="0"/>
        <charset val="1"/>
      </rPr>
      <t xml:space="preserve">075 · </t>
    </r>
    <r>
      <rPr>
        <sz val="11"/>
        <rFont val="Noto Sans CJK SC"/>
        <family val="2"/>
      </rPr>
      <t xml:space="preserve">첫 구매 후 </t>
    </r>
    <r>
      <rPr>
        <sz val="11"/>
        <rFont val="Arial"/>
        <family val="0"/>
        <charset val="1"/>
      </rPr>
      <t xml:space="preserve">50~60</t>
    </r>
    <r>
      <rPr>
        <sz val="11"/>
        <rFont val="Noto Sans CJK SC"/>
        <family val="2"/>
      </rPr>
      <t xml:space="preserve">일 소진 리마인드</t>
    </r>
  </si>
  <si>
    <t xml:space="preserve">이탈 조짐</t>
  </si>
  <si>
    <r>
      <rPr>
        <sz val="11"/>
        <rFont val="Arial"/>
        <family val="0"/>
        <charset val="1"/>
      </rPr>
      <t xml:space="preserve">108~164</t>
    </r>
    <r>
      <rPr>
        <sz val="11"/>
        <rFont val="Noto Sans CJK SC"/>
        <family val="2"/>
      </rPr>
      <t xml:space="preserve">일 </t>
    </r>
    <r>
      <rPr>
        <sz val="11"/>
        <rFont val="Arial"/>
        <family val="0"/>
        <charset val="1"/>
      </rPr>
      <t xml:space="preserve">· 47</t>
    </r>
    <r>
      <rPr>
        <sz val="11"/>
        <rFont val="Noto Sans CJK SC"/>
        <family val="2"/>
      </rPr>
      <t xml:space="preserve">명은 </t>
    </r>
    <r>
      <rPr>
        <sz val="11"/>
        <rFont val="Arial"/>
        <family val="0"/>
        <charset val="1"/>
      </rPr>
      <t xml:space="preserve">120</t>
    </r>
    <r>
      <rPr>
        <sz val="11"/>
        <rFont val="Noto Sans CJK SC"/>
        <family val="2"/>
      </rPr>
      <t xml:space="preserve">일 넘김</t>
    </r>
  </si>
  <si>
    <r>
      <rPr>
        <sz val="11"/>
        <rFont val="Arial"/>
        <family val="0"/>
        <charset val="1"/>
      </rPr>
      <t xml:space="preserve">-2 (</t>
    </r>
    <r>
      <rPr>
        <sz val="11"/>
        <rFont val="Noto Sans CJK SC"/>
        <family val="2"/>
      </rPr>
      <t xml:space="preserve">리뷰 인용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</si>
  <si>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체감 효과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가격 이유로 굳어지는 중</t>
    </r>
  </si>
  <si>
    <r>
      <rPr>
        <sz val="11"/>
        <rFont val="Arial"/>
        <family val="0"/>
        <charset val="1"/>
      </rPr>
      <t xml:space="preserve">075·077 · 120</t>
    </r>
    <r>
      <rPr>
        <sz val="11"/>
        <rFont val="Noto Sans CJK SC"/>
        <family val="2"/>
      </rPr>
      <t xml:space="preserve">일 전 리마인드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기한 있는 혜택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</si>
</sst>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EBEBEB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BEBEB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EBEB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7.15" hidden="false" customHeight="false" outlineLevel="0" collapsed="false">
      <c r="A2" s="2" t="s">
        <v>2</v>
      </c>
      <c r="B2" s="3" t="s">
        <v>3</v>
      </c>
    </row>
    <row r="3" customFormat="false" ht="17.15" hidden="false" customHeight="false" outlineLevel="0" collapsed="false">
      <c r="A3" s="2" t="s">
        <v>4</v>
      </c>
      <c r="B3" s="3" t="s">
        <v>5</v>
      </c>
    </row>
    <row r="4" customFormat="false" ht="17.15" hidden="false" customHeight="false" outlineLevel="0" collapsed="false">
      <c r="A4" s="2" t="s">
        <v>6</v>
      </c>
      <c r="B4" s="2" t="s">
        <v>7</v>
      </c>
    </row>
    <row r="5" customFormat="false" ht="17.15" hidden="false" customHeight="false" outlineLevel="0" collapsed="false">
      <c r="A5" s="2" t="s">
        <v>8</v>
      </c>
      <c r="B5" s="2" t="s">
        <v>9</v>
      </c>
    </row>
    <row r="6" customFormat="false" ht="17.15" hidden="false" customHeight="false" outlineLevel="0" collapsed="false">
      <c r="A6" s="2" t="s">
        <v>10</v>
      </c>
      <c r="B6" s="2" t="s">
        <v>11</v>
      </c>
    </row>
    <row r="7" customFormat="false" ht="17.15" hidden="false" customHeight="false" outlineLevel="0" collapsed="false">
      <c r="A7" s="2" t="s">
        <v>12</v>
      </c>
      <c r="B7" s="2" t="s">
        <v>13</v>
      </c>
    </row>
    <row r="8" customFormat="false" ht="32.8" hidden="false" customHeight="false" outlineLevel="0" collapsed="false">
      <c r="A8" s="2" t="s">
        <v>14</v>
      </c>
      <c r="B8" s="2" t="s">
        <v>15</v>
      </c>
    </row>
    <row r="9" customFormat="false" ht="17.15" hidden="false" customHeight="false" outlineLevel="0" collapsed="false">
      <c r="A9" s="2" t="s">
        <v>16</v>
      </c>
      <c r="B9" s="2" t="s">
        <v>17</v>
      </c>
    </row>
    <row r="10" customFormat="false" ht="17.15" hidden="false" customHeight="false" outlineLevel="0" collapsed="false">
      <c r="A10" s="2" t="s">
        <v>18</v>
      </c>
      <c r="B10" s="3" t="s">
        <v>19</v>
      </c>
    </row>
  </sheetData>
  <autoFilter ref="A1:B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34"/>
  </cols>
  <sheetData>
    <row r="1" customFormat="false" ht="15" hidden="false" customHeight="false" outlineLevel="0" collapsed="false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customFormat="false" ht="48.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</row>
    <row r="3" customFormat="false" ht="32.8" hidden="false" customHeight="false" outlineLevel="0" collapsed="false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</row>
    <row r="4" customFormat="false" ht="17.15" hidden="false" customHeight="false" outlineLevel="0" collapsed="false">
      <c r="A4" s="2" t="s">
        <v>35</v>
      </c>
      <c r="B4" s="2" t="n">
        <v>1</v>
      </c>
      <c r="C4" s="2" t="n">
        <v>0</v>
      </c>
      <c r="D4" s="2" t="n">
        <v>-2</v>
      </c>
      <c r="E4" s="2" t="n">
        <v>-2</v>
      </c>
    </row>
    <row r="5" customFormat="false" ht="32.8" hidden="false" customHeight="false" outlineLevel="0" collapsed="false">
      <c r="A5" s="2" t="s">
        <v>36</v>
      </c>
      <c r="B5" s="3" t="s">
        <v>37</v>
      </c>
      <c r="C5" s="3" t="s">
        <v>38</v>
      </c>
      <c r="D5" s="3" t="s">
        <v>39</v>
      </c>
      <c r="E5" s="2" t="s">
        <v>40</v>
      </c>
    </row>
    <row r="6" customFormat="false" ht="32.8" hidden="false" customHeight="false" outlineLevel="0" collapsed="false">
      <c r="A6" s="2" t="s">
        <v>41</v>
      </c>
      <c r="B6" s="2" t="s">
        <v>42</v>
      </c>
      <c r="C6" s="2" t="s">
        <v>43</v>
      </c>
      <c r="D6" s="3" t="s">
        <v>44</v>
      </c>
      <c r="E6" s="2" t="s">
        <v>45</v>
      </c>
    </row>
    <row r="7" customFormat="false" ht="17.15" hidden="false" customHeight="false" outlineLevel="0" collapsed="false">
      <c r="A7" s="2" t="s">
        <v>46</v>
      </c>
      <c r="B7" s="3" t="s">
        <v>47</v>
      </c>
      <c r="C7" s="3" t="s">
        <v>48</v>
      </c>
      <c r="D7" s="2" t="s">
        <v>49</v>
      </c>
      <c r="E7" s="3" t="s">
        <v>50</v>
      </c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10"/>
    <col collapsed="false" customWidth="true" hidden="false" outlineLevel="0" max="8" min="8" style="0" width="14"/>
    <col collapsed="false" customWidth="true" hidden="false" outlineLevel="0" max="10" min="9" style="0" width="16"/>
    <col collapsed="false" customWidth="true" hidden="false" outlineLevel="0" max="11" min="11" style="0" width="14"/>
  </cols>
  <sheetData>
    <row r="1" customFormat="false" ht="15" hidden="false" customHeight="false" outlineLevel="0" collapsed="false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</row>
    <row r="2" customFormat="false" ht="15" hidden="false" customHeight="false" outlineLevel="0" collapsed="false">
      <c r="A2" s="3" t="s">
        <v>62</v>
      </c>
      <c r="B2" s="4" t="n">
        <v>65688</v>
      </c>
      <c r="C2" s="4" t="n">
        <v>8260</v>
      </c>
      <c r="D2" s="4" t="n">
        <v>2347</v>
      </c>
      <c r="E2" s="4" t="n">
        <v>1304</v>
      </c>
      <c r="F2" s="4" t="n">
        <v>628</v>
      </c>
      <c r="G2" s="5" t="n">
        <f aca="false">C2/B2</f>
        <v>0.125745950554135</v>
      </c>
      <c r="H2" s="5" t="n">
        <f aca="false">D2/C2</f>
        <v>0.284140435835351</v>
      </c>
      <c r="I2" s="5" t="n">
        <f aca="false">E2/D2</f>
        <v>0.555602897315722</v>
      </c>
      <c r="J2" s="5" t="n">
        <f aca="false">F2/E2</f>
        <v>0.48159509202454</v>
      </c>
      <c r="K2" s="6" t="n">
        <f aca="false">F2/B2</f>
        <v>0.00956034587748143</v>
      </c>
    </row>
    <row r="3" customFormat="false" ht="15" hidden="false" customHeight="false" outlineLevel="0" collapsed="false">
      <c r="A3" s="3" t="s">
        <v>63</v>
      </c>
      <c r="B3" s="4" t="n">
        <v>63484</v>
      </c>
      <c r="C3" s="4" t="n">
        <v>8003</v>
      </c>
      <c r="D3" s="4" t="n">
        <v>2298</v>
      </c>
      <c r="E3" s="4" t="n">
        <v>1279</v>
      </c>
      <c r="F3" s="4" t="n">
        <v>623</v>
      </c>
      <c r="G3" s="5" t="n">
        <f aca="false">C3/B3</f>
        <v>0.126063260034024</v>
      </c>
      <c r="H3" s="5" t="n">
        <f aca="false">D3/C3</f>
        <v>0.287142321629389</v>
      </c>
      <c r="I3" s="5" t="n">
        <f aca="false">E3/D3</f>
        <v>0.556570931244561</v>
      </c>
      <c r="J3" s="5" t="n">
        <f aca="false">F3/E3</f>
        <v>0.487099296325254</v>
      </c>
      <c r="K3" s="6" t="n">
        <f aca="false">F3/B3</f>
        <v>0.00981349631403188</v>
      </c>
    </row>
    <row r="4" customFormat="false" ht="17.15" hidden="false" customHeight="false" outlineLevel="0" collapsed="false">
      <c r="A4" s="3" t="s">
        <v>64</v>
      </c>
      <c r="B4" s="4" t="n">
        <v>61118</v>
      </c>
      <c r="C4" s="4" t="n">
        <v>7774</v>
      </c>
      <c r="D4" s="4" t="n">
        <v>2220</v>
      </c>
      <c r="E4" s="4" t="n">
        <v>1237</v>
      </c>
      <c r="F4" s="4" t="n">
        <v>275</v>
      </c>
      <c r="G4" s="5" t="n">
        <f aca="false">C4/B4</f>
        <v>0.127196570568409</v>
      </c>
      <c r="H4" s="5" t="n">
        <f aca="false">D4/C4</f>
        <v>0.285567275533831</v>
      </c>
      <c r="I4" s="5" t="n">
        <f aca="false">E4/D4</f>
        <v>0.557207207207207</v>
      </c>
      <c r="J4" s="5" t="n">
        <f aca="false">F4/E4</f>
        <v>0.222312045270817</v>
      </c>
      <c r="K4" s="6" t="n">
        <f aca="false">F4/B4</f>
        <v>0.00449949278444975</v>
      </c>
    </row>
    <row r="5" customFormat="false" ht="15" hidden="false" customHeight="false" outlineLevel="0" collapsed="false">
      <c r="A5" s="3" t="s">
        <v>65</v>
      </c>
      <c r="B5" s="4" t="n">
        <v>14837</v>
      </c>
      <c r="C5" s="4" t="n">
        <v>1857</v>
      </c>
      <c r="D5" s="4" t="n">
        <v>534</v>
      </c>
      <c r="E5" s="4" t="n">
        <v>294</v>
      </c>
      <c r="F5" s="4" t="n">
        <v>144</v>
      </c>
      <c r="G5" s="5" t="n">
        <f aca="false">C5/B5</f>
        <v>0.125160072790995</v>
      </c>
      <c r="H5" s="5" t="n">
        <f aca="false">D5/C5</f>
        <v>0.287560581583199</v>
      </c>
      <c r="I5" s="5" t="n">
        <f aca="false">E5/D5</f>
        <v>0.550561797752809</v>
      </c>
      <c r="J5" s="5" t="n">
        <f aca="false">F5/E5</f>
        <v>0.489795918367347</v>
      </c>
      <c r="K5" s="6" t="n">
        <f aca="false">F5/B5</f>
        <v>0.00970546606456831</v>
      </c>
    </row>
    <row r="6" customFormat="false" ht="15" hidden="false" customHeight="false" outlineLevel="0" collapsed="false">
      <c r="A6" s="3" t="s">
        <v>66</v>
      </c>
      <c r="B6" s="4" t="n">
        <v>14439</v>
      </c>
      <c r="C6" s="4" t="n">
        <v>1844</v>
      </c>
      <c r="D6" s="4" t="n">
        <v>531</v>
      </c>
      <c r="E6" s="4" t="n">
        <v>299</v>
      </c>
      <c r="F6" s="4" t="n">
        <v>67</v>
      </c>
      <c r="G6" s="5" t="n">
        <f aca="false">C6/B6</f>
        <v>0.127709675185262</v>
      </c>
      <c r="H6" s="5" t="n">
        <f aca="false">D6/C6</f>
        <v>0.287960954446855</v>
      </c>
      <c r="I6" s="5" t="n">
        <f aca="false">E6/D6</f>
        <v>0.563088512241055</v>
      </c>
      <c r="J6" s="5" t="n">
        <f aca="false">F6/E6</f>
        <v>0.224080267558528</v>
      </c>
      <c r="K6" s="6" t="n">
        <f aca="false">F6/B6</f>
        <v>0.00464021054089618</v>
      </c>
    </row>
  </sheetData>
  <autoFilter ref="A1:K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0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</cols>
  <sheetData>
    <row r="1" customFormat="false" ht="17.15" hidden="false" customHeight="false" outlineLevel="0" collapsed="false">
      <c r="A1" s="1" t="s">
        <v>67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60</v>
      </c>
      <c r="J1" s="1" t="s">
        <v>61</v>
      </c>
      <c r="K1" s="1" t="s">
        <v>68</v>
      </c>
      <c r="L1" s="1" t="s">
        <v>69</v>
      </c>
    </row>
    <row r="2" customFormat="false" ht="17.15" hidden="false" customHeight="false" outlineLevel="0" collapsed="false">
      <c r="A2" s="2" t="s">
        <v>70</v>
      </c>
      <c r="B2" s="4" t="n">
        <v>49506</v>
      </c>
      <c r="C2" s="4" t="n">
        <v>5603</v>
      </c>
      <c r="D2" s="4" t="n">
        <v>1618</v>
      </c>
      <c r="E2" s="4" t="n">
        <v>902</v>
      </c>
      <c r="F2" s="4" t="n">
        <v>363</v>
      </c>
      <c r="G2" s="5" t="n">
        <f aca="false">C2/B2</f>
        <v>0.113178200622147</v>
      </c>
      <c r="H2" s="5" t="n">
        <f aca="false">D2/C2</f>
        <v>0.288773871140461</v>
      </c>
      <c r="I2" s="5" t="n">
        <f aca="false">F2/E2</f>
        <v>0.402439024390244</v>
      </c>
      <c r="J2" s="6" t="n">
        <f aca="false">F2/B2</f>
        <v>0.00733244455217549</v>
      </c>
      <c r="K2" s="5" t="n">
        <v>0.485</v>
      </c>
      <c r="L2" s="5" t="n">
        <v>0.233</v>
      </c>
    </row>
    <row r="3" customFormat="false" ht="17.15" hidden="false" customHeight="false" outlineLevel="0" collapsed="false">
      <c r="A3" s="2" t="s">
        <v>71</v>
      </c>
      <c r="B3" s="4" t="n">
        <v>53297</v>
      </c>
      <c r="C3" s="4" t="n">
        <v>6615</v>
      </c>
      <c r="D3" s="4" t="n">
        <v>1887</v>
      </c>
      <c r="E3" s="4" t="n">
        <v>1033</v>
      </c>
      <c r="F3" s="4" t="n">
        <v>420</v>
      </c>
      <c r="G3" s="5" t="n">
        <f aca="false">C3/B3</f>
        <v>0.124115803891401</v>
      </c>
      <c r="H3" s="5" t="n">
        <f aca="false">D3/C3</f>
        <v>0.285260770975057</v>
      </c>
      <c r="I3" s="5" t="n">
        <f aca="false">F3/E3</f>
        <v>0.406582768635044</v>
      </c>
      <c r="J3" s="6" t="n">
        <f aca="false">F3/B3</f>
        <v>0.00788036850104133</v>
      </c>
      <c r="K3" s="5" t="n">
        <v>0.483</v>
      </c>
      <c r="L3" s="5" t="n">
        <v>0.243</v>
      </c>
    </row>
    <row r="4" customFormat="false" ht="17.15" hidden="false" customHeight="false" outlineLevel="0" collapsed="false">
      <c r="A4" s="2" t="s">
        <v>72</v>
      </c>
      <c r="B4" s="4" t="n">
        <v>41846</v>
      </c>
      <c r="C4" s="4" t="n">
        <v>6028</v>
      </c>
      <c r="D4" s="4" t="n">
        <v>1707</v>
      </c>
      <c r="E4" s="4" t="n">
        <v>943</v>
      </c>
      <c r="F4" s="4" t="n">
        <v>381</v>
      </c>
      <c r="G4" s="5" t="n">
        <f aca="false">C4/B4</f>
        <v>0.144052000191177</v>
      </c>
      <c r="H4" s="5" t="n">
        <f aca="false">D4/C4</f>
        <v>0.283178500331785</v>
      </c>
      <c r="I4" s="5" t="n">
        <f aca="false">F4/E4</f>
        <v>0.404029692470838</v>
      </c>
      <c r="J4" s="6" t="n">
        <f aca="false">F4/B4</f>
        <v>0.00910481288534149</v>
      </c>
      <c r="K4" s="5" t="n">
        <v>0.488</v>
      </c>
      <c r="L4" s="5" t="n">
        <v>0.225</v>
      </c>
    </row>
    <row r="5" customFormat="false" ht="17.15" hidden="false" customHeight="false" outlineLevel="0" collapsed="false">
      <c r="A5" s="2" t="s">
        <v>73</v>
      </c>
      <c r="B5" s="4" t="n">
        <v>26518</v>
      </c>
      <c r="C5" s="4" t="n">
        <v>2387</v>
      </c>
      <c r="D5" s="4" t="n">
        <v>682</v>
      </c>
      <c r="E5" s="4" t="n">
        <v>380</v>
      </c>
      <c r="F5" s="4" t="n">
        <v>145</v>
      </c>
      <c r="G5" s="5" t="n">
        <f aca="false">C5/B5</f>
        <v>0.0900143298891319</v>
      </c>
      <c r="H5" s="5" t="n">
        <f aca="false">D5/C5</f>
        <v>0.285714285714286</v>
      </c>
      <c r="I5" s="5" t="n">
        <f aca="false">F5/E5</f>
        <v>0.381578947368421</v>
      </c>
      <c r="J5" s="6" t="n">
        <f aca="false">F5/B5</f>
        <v>0.00546798401086055</v>
      </c>
      <c r="K5" s="5" t="n">
        <v>0.458</v>
      </c>
      <c r="L5" s="5" t="n">
        <v>0.228</v>
      </c>
    </row>
    <row r="6" customFormat="false" ht="17.15" hidden="false" customHeight="false" outlineLevel="0" collapsed="false">
      <c r="A6" s="2" t="s">
        <v>74</v>
      </c>
      <c r="B6" s="4" t="n">
        <v>19123</v>
      </c>
      <c r="C6" s="4" t="n">
        <v>3404</v>
      </c>
      <c r="D6" s="4" t="n">
        <v>971</v>
      </c>
      <c r="E6" s="4" t="n">
        <v>562</v>
      </c>
      <c r="F6" s="4" t="n">
        <v>217</v>
      </c>
      <c r="G6" s="5" t="n">
        <f aca="false">C6/B6</f>
        <v>0.178005543063327</v>
      </c>
      <c r="H6" s="5" t="n">
        <f aca="false">D6/C6</f>
        <v>0.285252643948296</v>
      </c>
      <c r="I6" s="5" t="n">
        <f aca="false">F6/E6</f>
        <v>0.386120996441281</v>
      </c>
      <c r="J6" s="6" t="n">
        <f aca="false">F6/B6</f>
        <v>0.0113475919050358</v>
      </c>
      <c r="K6" s="5" t="n">
        <v>0.496</v>
      </c>
      <c r="L6" s="5" t="n">
        <v>0.158</v>
      </c>
    </row>
    <row r="7" customFormat="false" ht="17.15" hidden="false" customHeight="false" outlineLevel="0" collapsed="false">
      <c r="A7" s="2" t="s">
        <v>75</v>
      </c>
      <c r="B7" s="4" t="n">
        <v>148411</v>
      </c>
      <c r="C7" s="4" t="n">
        <v>18762</v>
      </c>
      <c r="D7" s="4" t="n">
        <v>4964</v>
      </c>
      <c r="E7" s="4" t="n">
        <v>2734</v>
      </c>
      <c r="F7" s="4" t="n">
        <v>1106</v>
      </c>
      <c r="G7" s="5" t="n">
        <f aca="false">C7/B7</f>
        <v>0.126419200733099</v>
      </c>
      <c r="H7" s="5" t="n">
        <f aca="false">D7/C7</f>
        <v>0.264577337170877</v>
      </c>
      <c r="I7" s="5" t="n">
        <f aca="false">F7/E7</f>
        <v>0.404535479151426</v>
      </c>
      <c r="J7" s="6" t="n">
        <f aca="false">F7/B7</f>
        <v>0.00745227779612023</v>
      </c>
      <c r="K7" s="5" t="n">
        <v>0.49</v>
      </c>
      <c r="L7" s="5" t="n">
        <v>0.226</v>
      </c>
    </row>
    <row r="8" customFormat="false" ht="15" hidden="false" customHeight="false" outlineLevel="0" collapsed="false">
      <c r="A8" s="3" t="s">
        <v>76</v>
      </c>
      <c r="B8" s="4" t="n">
        <v>41879</v>
      </c>
      <c r="C8" s="4" t="n">
        <v>5275</v>
      </c>
      <c r="D8" s="4" t="n">
        <v>1901</v>
      </c>
      <c r="E8" s="4" t="n">
        <v>1086</v>
      </c>
      <c r="F8" s="4" t="n">
        <v>420</v>
      </c>
      <c r="G8" s="5" t="n">
        <f aca="false">C8/B8</f>
        <v>0.125958117433559</v>
      </c>
      <c r="H8" s="5" t="n">
        <f aca="false">D8/C8</f>
        <v>0.360379146919431</v>
      </c>
      <c r="I8" s="5" t="n">
        <f aca="false">F8/E8</f>
        <v>0.386740331491713</v>
      </c>
      <c r="J8" s="6" t="n">
        <f aca="false">F8/B8</f>
        <v>0.0100288927624824</v>
      </c>
      <c r="K8" s="5" t="n">
        <v>0.469</v>
      </c>
      <c r="L8" s="5" t="n">
        <v>0.214</v>
      </c>
    </row>
    <row r="10" customFormat="false" ht="17.15" hidden="false" customHeight="false" outlineLevel="0" collapsed="false">
      <c r="A10" s="7" t="s">
        <v>77</v>
      </c>
    </row>
  </sheetData>
  <autoFilter ref="A1:L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4"/>
    <col collapsed="false" customWidth="true" hidden="false" outlineLevel="0" max="4" min="4" style="0" width="60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46</v>
      </c>
    </row>
    <row r="2" customFormat="false" ht="32.8" hidden="false" customHeight="false" outlineLevel="0" collapsed="false">
      <c r="A2" s="2" t="n">
        <v>1</v>
      </c>
      <c r="B2" s="2" t="s">
        <v>82</v>
      </c>
      <c r="C2" s="2" t="s">
        <v>83</v>
      </c>
      <c r="D2" s="3" t="s">
        <v>84</v>
      </c>
      <c r="E2" s="2" t="s">
        <v>85</v>
      </c>
    </row>
    <row r="3" customFormat="false" ht="29.85" hidden="false" customHeight="false" outlineLevel="0" collapsed="false">
      <c r="A3" s="2" t="n">
        <v>2</v>
      </c>
      <c r="B3" s="2" t="s">
        <v>86</v>
      </c>
      <c r="C3" s="2" t="s">
        <v>87</v>
      </c>
      <c r="D3" s="3" t="s">
        <v>88</v>
      </c>
      <c r="E3" s="3" t="s">
        <v>50</v>
      </c>
    </row>
    <row r="4" customFormat="false" ht="17.15" hidden="false" customHeight="false" outlineLevel="0" collapsed="false">
      <c r="A4" s="2" t="n">
        <v>3</v>
      </c>
      <c r="B4" s="2" t="s">
        <v>89</v>
      </c>
      <c r="C4" s="2" t="s">
        <v>83</v>
      </c>
      <c r="D4" s="2" t="s">
        <v>90</v>
      </c>
      <c r="E4" s="3" t="s">
        <v>48</v>
      </c>
    </row>
  </sheetData>
  <autoFilter ref="A1:E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41</v>
      </c>
      <c r="G1" s="1" t="s">
        <v>96</v>
      </c>
    </row>
    <row r="2" customFormat="false" ht="17.15" hidden="false" customHeight="false" outlineLevel="0" collapsed="false">
      <c r="A2" s="2" t="s">
        <v>97</v>
      </c>
      <c r="B2" s="2" t="n">
        <v>76</v>
      </c>
      <c r="C2" s="5" t="n">
        <v>0.18</v>
      </c>
      <c r="D2" s="2" t="s">
        <v>98</v>
      </c>
      <c r="E2" s="3" t="s">
        <v>99</v>
      </c>
      <c r="F2" s="2" t="s">
        <v>100</v>
      </c>
      <c r="G2" s="3" t="s">
        <v>101</v>
      </c>
    </row>
    <row r="3" customFormat="false" ht="32.8" hidden="false" customHeight="false" outlineLevel="0" collapsed="false">
      <c r="A3" s="2" t="s">
        <v>102</v>
      </c>
      <c r="B3" s="2" t="n">
        <v>64</v>
      </c>
      <c r="C3" s="5" t="n">
        <v>0.181</v>
      </c>
      <c r="D3" s="3" t="s">
        <v>103</v>
      </c>
      <c r="E3" s="3" t="s">
        <v>104</v>
      </c>
      <c r="F3" s="2" t="s">
        <v>105</v>
      </c>
      <c r="G3" s="3" t="s">
        <v>106</v>
      </c>
    </row>
  </sheetData>
  <autoFilter ref="A1:G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2026-09-16T04:05:45Z</dcterms:created>
  <dc:creator>openpyxl</dc:creator>
  <dc:description/>
  <dc:language>en-US</dc:language>
  <cp:lastModifiedBy/>
  <dcterms:modified xsi:type="dcterms:W3CDTF">2026-09-16T04:05:45Z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