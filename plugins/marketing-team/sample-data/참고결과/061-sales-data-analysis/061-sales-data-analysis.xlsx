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월별 추이" sheetId="2" state="visible" r:id="rId2"/>
    <sheet xmlns:r="http://schemas.openxmlformats.org/officeDocument/2006/relationships" name="성장동인 분해" sheetId="3" state="visible" r:id="rId3"/>
    <sheet xmlns:r="http://schemas.openxmlformats.org/officeDocument/2006/relationships" name="채널별" sheetId="4" state="visible" r:id="rId4"/>
    <sheet xmlns:r="http://schemas.openxmlformats.org/officeDocument/2006/relationships" name="채널 파레토(90일)" sheetId="5" state="visible" r:id="rId5"/>
    <sheet xmlns:r="http://schemas.openxmlformats.org/officeDocument/2006/relationships" name="일별" sheetId="6" state="visible" r:id="rId6"/>
    <sheet xmlns:r="http://schemas.openxmlformats.org/officeDocument/2006/relationships" name="이상치" sheetId="7" state="visible" r:id="rId7"/>
    <sheet xmlns:r="http://schemas.openxmlformats.org/officeDocument/2006/relationships" name="채널별 튄 날(2.5σ+)" sheetId="8" state="visible" r:id="rId8"/>
    <sheet xmlns:r="http://schemas.openxmlformats.org/officeDocument/2006/relationships" name="광고 캠페인" sheetId="9" state="visible" r:id="rId9"/>
    <sheet xmlns:r="http://schemas.openxmlformats.org/officeDocument/2006/relationships" name="광고 목표별" sheetId="10" state="visible" r:id="rId10"/>
    <sheet xmlns:r="http://schemas.openxmlformats.org/officeDocument/2006/relationships" name="자료 점검" sheetId="11" state="visible" r:id="rId11"/>
  </sheets>
  <definedNames>
    <definedName name="_xlnm._FilterDatabase" localSheetId="0" hidden="1">'요약'!$A$1:$C$19</definedName>
    <definedName name="_xlnm._FilterDatabase" localSheetId="1" hidden="1">'월별 추이'!$A$1:$K$4</definedName>
    <definedName name="_xlnm._FilterDatabase" localSheetId="2" hidden="1">'성장동인 분해'!$A$1:$C$10</definedName>
    <definedName name="_xlnm._FilterDatabase" localSheetId="3" hidden="1">'채널별'!$A$1:$M$7</definedName>
    <definedName name="_xlnm._FilterDatabase" localSheetId="4" hidden="1">'채널 파레토(90일)'!$A$1:$F$7</definedName>
    <definedName name="_xlnm._FilterDatabase" localSheetId="5" hidden="1">'일별'!$A$1:$J$91</definedName>
    <definedName name="_xlnm._FilterDatabase" localSheetId="6" hidden="1">'이상치'!$A$1:$I$5</definedName>
    <definedName name="_xlnm._FilterDatabase" localSheetId="7" hidden="1">'채널별 튄 날(2.5σ+)'!$A$1:$F$15</definedName>
    <definedName name="_xlnm._FilterDatabase" localSheetId="8" hidden="1">'광고 캠페인'!$A$1:$M$5</definedName>
    <definedName name="_xlnm._FilterDatabase" localSheetId="9" hidden="1">'광고 목표별'!$A$1:$F$4</definedName>
    <definedName name="_xlnm._FilterDatabase" localSheetId="10" hidden="1">'자료 점검'!$A$1:$C$9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기준</t>
        </is>
      </c>
    </row>
    <row r="2">
      <c r="A2" t="inlineStr">
        <is>
          <t>자료</t>
        </is>
      </c>
      <c r="B2" t="inlineStr">
        <is>
          <t>[샘플] 연습용 A브랜드 채널성과 90일(2026-05-01~07-29, 6채널 540행) + 메타 광고 30일(2026-07-01~07-30, 캠페인 4개 120행)</t>
        </is>
      </c>
      <c r="C2" t="inlineStr">
        <is>
          <t>가상 데이터</t>
        </is>
      </c>
    </row>
    <row r="3">
      <c r="A3" t="inlineStr">
        <is>
          <t>90일 전체 매출</t>
        </is>
      </c>
      <c r="B3" s="2" t="n">
        <v>671377000</v>
      </c>
      <c r="C3" t="inlineStr">
        <is>
          <t>원 · 판매 자료 합계</t>
        </is>
      </c>
    </row>
    <row r="4">
      <c r="A4" t="inlineStr">
        <is>
          <t>7월 매출(29일)</t>
        </is>
      </c>
      <c r="B4" s="2" t="n">
        <v>199964000</v>
      </c>
      <c r="C4" t="inlineStr">
        <is>
          <t>원 · 7월 자료는 7/29까지</t>
        </is>
      </c>
    </row>
    <row r="5">
      <c r="A5" t="inlineStr">
        <is>
          <t>7월 일평균 매출</t>
        </is>
      </c>
      <c r="B5" s="2" t="n">
        <v>6895310.34</v>
      </c>
      <c r="C5" t="inlineStr">
        <is>
          <t>원/일</t>
        </is>
      </c>
    </row>
    <row r="6">
      <c r="A6" t="inlineStr">
        <is>
          <t>6월 일평균 매출</t>
        </is>
      </c>
      <c r="B6" s="2" t="n">
        <v>7694333.33</v>
      </c>
      <c r="C6" t="inlineStr">
        <is>
          <t>원/일</t>
        </is>
      </c>
    </row>
    <row r="7">
      <c r="A7" t="inlineStr">
        <is>
          <t>일평균 증감(%)</t>
        </is>
      </c>
      <c r="B7" t="n">
        <v>-10.38</v>
      </c>
      <c r="C7" t="inlineStr">
        <is>
          <t>6월→7월 · 일수 차이(30일 vs 29일) 보정</t>
        </is>
      </c>
    </row>
    <row r="8">
      <c r="A8" t="inlineStr">
        <is>
          <t>증감 원인 · 수량(주문 수)</t>
        </is>
      </c>
      <c r="B8" s="2" t="n">
        <v>-752462.83</v>
      </c>
      <c r="C8" t="inlineStr">
        <is>
          <t>원/일</t>
        </is>
      </c>
    </row>
    <row r="9">
      <c r="A9" t="inlineStr">
        <is>
          <t>증감 원인 · 단가(채널 안 객단가)</t>
        </is>
      </c>
      <c r="B9" s="2" t="n">
        <v>5973.55</v>
      </c>
      <c r="C9" t="inlineStr">
        <is>
          <t>원/일</t>
        </is>
      </c>
    </row>
    <row r="10">
      <c r="A10" t="inlineStr">
        <is>
          <t>증감 원인 · 믹스(채널 구성)</t>
        </is>
      </c>
      <c r="B10" s="2" t="n">
        <v>-52533.7</v>
      </c>
      <c r="C10" t="inlineStr">
        <is>
          <t>원/일</t>
        </is>
      </c>
    </row>
    <row r="11">
      <c r="A11" t="inlineStr">
        <is>
          <t>광고 비교 기간</t>
        </is>
      </c>
      <c r="B11" t="inlineStr">
        <is>
          <t>2026-07-01~07-29</t>
        </is>
      </c>
      <c r="C11" t="inlineStr">
        <is>
          <t>두 자료가 겹치는 29일</t>
        </is>
      </c>
    </row>
    <row r="12">
      <c r="A12" t="inlineStr">
        <is>
          <t>전체 매출(겹치는 기간)</t>
        </is>
      </c>
      <c r="B12" s="2" t="n">
        <v>199964000</v>
      </c>
      <c r="C12" t="inlineStr">
        <is>
          <t>원 · 판매 자료</t>
        </is>
      </c>
    </row>
    <row r="13">
      <c r="A13" t="inlineStr">
        <is>
          <t>광고비</t>
        </is>
      </c>
      <c r="B13" s="2" t="n">
        <v>67788144</v>
      </c>
      <c r="C13" t="inlineStr">
        <is>
          <t>원 · 메타 광고 자료</t>
        </is>
      </c>
    </row>
    <row r="14">
      <c r="A14" t="inlineStr">
        <is>
          <t>광고 전환매출(메타 보고)</t>
        </is>
      </c>
      <c r="B14" s="2" t="n">
        <v>51762000</v>
      </c>
      <c r="C14" t="inlineStr">
        <is>
          <t>원 · 메타가 스스로 잡은 매출</t>
        </is>
      </c>
    </row>
    <row r="15">
      <c r="A15" t="inlineStr">
        <is>
          <t>종합 ROAS</t>
        </is>
      </c>
      <c r="B15" t="n">
        <v>0.76</v>
      </c>
      <c r="C15" t="inlineStr">
        <is>
          <t>광고 전환매출 ÷ 광고비 · 손익분기 2.0 [샘플 프로필]</t>
        </is>
      </c>
    </row>
    <row r="16">
      <c r="A16" t="inlineStr">
        <is>
          <t>광고 의존도(메타 보고 기준)</t>
        </is>
      </c>
      <c r="B16" t="n">
        <v>25.89</v>
      </c>
      <c r="C16" t="inlineStr">
        <is>
          <t>% · [자료 충돌] 파일을 넘나든 계산</t>
        </is>
      </c>
    </row>
    <row r="17">
      <c r="A17" t="inlineStr">
        <is>
          <t>광고 의존도(판매 자료 메타광고 채널 기준)</t>
        </is>
      </c>
      <c r="B17" t="n">
        <v>16.87</v>
      </c>
      <c r="C17" t="inlineStr">
        <is>
          <t>% · 판매 자료 안에서만 계산</t>
        </is>
      </c>
    </row>
    <row r="18">
      <c r="A18" t="inlineStr">
        <is>
          <t>전환 캠페인 목표 CPA 초과 지출</t>
        </is>
      </c>
      <c r="B18" s="2" t="n">
        <v>20220313</v>
      </c>
      <c r="C18" t="inlineStr">
        <is>
          <t>원 · 목표 CPA 15,670원 [샘플 프로필]</t>
        </is>
      </c>
    </row>
    <row r="19">
      <c r="A19" t="inlineStr">
        <is>
          <t>이상치(일 매출)</t>
        </is>
      </c>
      <c r="B19" t="n">
        <v>4</v>
      </c>
      <c r="C19" t="inlineStr">
        <is>
          <t>건 · 같은 요일 기준 2σ 이상 (긴급 1)</t>
        </is>
      </c>
    </row>
    <row r="21">
      <c r="A21" s="3" t="inlineStr">
        <is>
          <t>메모</t>
        </is>
      </c>
    </row>
    <row r="22">
      <c r="A22" t="inlineStr">
        <is>
          <t>[샘플] 가상의 A브랜드 기준입니다. 숫자는 우리 브랜드 것이 아닙니다.</t>
        </is>
      </c>
    </row>
    <row r="23">
      <c r="A23" t="inlineStr">
        <is>
          <t>이익은 원가 열이 없어 샘플 프로필 공헌이익률 50%로 추정했습니다 [추정].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0" customWidth="1" min="9" max="9"/>
    <col width="12" customWidth="1" min="10" max="10"/>
    <col width="16" customWidth="1" min="11" max="11"/>
  </cols>
  <sheetData>
    <row r="1">
      <c r="A1" s="1" t="inlineStr">
        <is>
          <t>월</t>
        </is>
      </c>
      <c r="B1" s="1" t="inlineStr">
        <is>
          <t>일수</t>
        </is>
      </c>
      <c r="C1" s="1" t="inlineStr">
        <is>
          <t>세션</t>
        </is>
      </c>
      <c r="D1" s="1" t="inlineStr">
        <is>
          <t>주문</t>
        </is>
      </c>
      <c r="E1" s="1" t="inlineStr">
        <is>
          <t>매출</t>
        </is>
      </c>
      <c r="F1" s="1" t="inlineStr">
        <is>
          <t>일평균매출</t>
        </is>
      </c>
      <c r="G1" s="1" t="inlineStr">
        <is>
          <t>일평균주문</t>
        </is>
      </c>
      <c r="H1" s="1" t="inlineStr">
        <is>
          <t>일평균세션</t>
        </is>
      </c>
      <c r="I1" s="1" t="inlineStr">
        <is>
          <t>주문전환율(%)</t>
        </is>
      </c>
      <c r="J1" s="1" t="inlineStr">
        <is>
          <t>AOV</t>
        </is>
      </c>
      <c r="K1" s="1" t="inlineStr">
        <is>
          <t>이익[추정]</t>
        </is>
      </c>
    </row>
    <row r="2">
      <c r="A2" t="inlineStr">
        <is>
          <t>2026-05</t>
        </is>
      </c>
      <c r="B2" t="n">
        <v>31</v>
      </c>
      <c r="C2" s="2" t="n">
        <v>235344</v>
      </c>
      <c r="D2" s="2" t="n">
        <v>3734</v>
      </c>
      <c r="E2" s="2" t="n">
        <v>240583000</v>
      </c>
      <c r="F2" s="2" t="n">
        <v>7760741.94</v>
      </c>
      <c r="G2" t="n">
        <v>120.45</v>
      </c>
      <c r="H2" s="2" t="n">
        <v>7591.74</v>
      </c>
      <c r="I2" t="n">
        <v>1.59</v>
      </c>
      <c r="J2" s="2" t="n">
        <v>64430.37</v>
      </c>
      <c r="K2" s="2" t="n">
        <v>120291500</v>
      </c>
    </row>
    <row r="3">
      <c r="A3" t="inlineStr">
        <is>
          <t>2026-06</t>
        </is>
      </c>
      <c r="B3" t="n">
        <v>30</v>
      </c>
      <c r="C3" s="2" t="n">
        <v>226767</v>
      </c>
      <c r="D3" s="2" t="n">
        <v>3574</v>
      </c>
      <c r="E3" s="2" t="n">
        <v>230830000</v>
      </c>
      <c r="F3" s="2" t="n">
        <v>7694333.33</v>
      </c>
      <c r="G3" t="n">
        <v>119.13</v>
      </c>
      <c r="H3" s="2" t="n">
        <v>7558.9</v>
      </c>
      <c r="I3" t="n">
        <v>1.58</v>
      </c>
      <c r="J3" s="2" t="n">
        <v>64585.9</v>
      </c>
      <c r="K3" s="2" t="n">
        <v>115415000</v>
      </c>
    </row>
    <row r="4">
      <c r="A4" t="inlineStr">
        <is>
          <t>2026-07</t>
        </is>
      </c>
      <c r="B4" t="n">
        <v>29</v>
      </c>
      <c r="C4" s="2" t="n">
        <v>200793</v>
      </c>
      <c r="D4" s="2" t="n">
        <v>3117</v>
      </c>
      <c r="E4" s="2" t="n">
        <v>199964000</v>
      </c>
      <c r="F4" s="2" t="n">
        <v>6895310.34</v>
      </c>
      <c r="G4" t="n">
        <v>107.48</v>
      </c>
      <c r="H4" s="2" t="n">
        <v>6923.9</v>
      </c>
      <c r="I4" t="n">
        <v>1.55</v>
      </c>
      <c r="J4" s="2" t="n">
        <v>64152.71</v>
      </c>
      <c r="K4" s="2" t="n">
        <v>99982000</v>
      </c>
    </row>
    <row r="6">
      <c r="A6" s="3" t="inlineStr">
        <is>
          <t>메모</t>
        </is>
      </c>
    </row>
    <row r="7">
      <c r="A7" t="inlineStr">
        <is>
          <t>월마다 일수가 달라(31·30·29일) 일평균으로 비교합니다.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구분</t>
        </is>
      </c>
      <c r="B1" s="1" t="inlineStr">
        <is>
          <t>원/일</t>
        </is>
      </c>
      <c r="C1" s="1" t="inlineStr">
        <is>
          <t>설명</t>
        </is>
      </c>
    </row>
    <row r="2">
      <c r="A2" t="inlineStr">
        <is>
          <t>6월 일평균 매출</t>
        </is>
      </c>
      <c r="B2" s="2" t="n">
        <v>7694333.33</v>
      </c>
      <c r="C2" t="inlineStr"/>
    </row>
    <row r="3">
      <c r="A3" t="inlineStr">
        <is>
          <t>수량(주문 수)</t>
        </is>
      </c>
      <c r="B3" s="2" t="n">
        <v>-752462.83</v>
      </c>
      <c r="C3" t="inlineStr">
        <is>
          <t>일평균 주문 119.1 → 107.5건</t>
        </is>
      </c>
    </row>
    <row r="4">
      <c r="A4" t="inlineStr">
        <is>
          <t>단가(채널 안 객단가)</t>
        </is>
      </c>
      <c r="B4" s="2" t="n">
        <v>5973.55</v>
      </c>
      <c r="C4" t="inlineStr">
        <is>
          <t>채널마다 객단가 변화의 합</t>
        </is>
      </c>
    </row>
    <row r="5">
      <c r="A5" t="inlineStr">
        <is>
          <t>믹스(채널 구성)</t>
        </is>
      </c>
      <c r="B5" s="2" t="n">
        <v>-52533.7</v>
      </c>
      <c r="C5" t="inlineStr">
        <is>
          <t>고객단가 높은 인스타 비중 축소</t>
        </is>
      </c>
    </row>
    <row r="6">
      <c r="A6" t="inlineStr">
        <is>
          <t>7월 일평균 매출</t>
        </is>
      </c>
      <c r="B6" s="2" t="n">
        <v>6895310.34</v>
      </c>
      <c r="C6" t="inlineStr"/>
    </row>
    <row r="7">
      <c r="A7" t="inlineStr">
        <is>
          <t>검산(시작+세 원인)</t>
        </is>
      </c>
      <c r="B7" s="2" t="n">
        <v>6895310.34</v>
      </c>
      <c r="C7">
        <f> 7월 일평균</f>
        <v/>
      </c>
    </row>
    <row r="8">
      <c r="A8" t="inlineStr">
        <is>
          <t>(참고) 5월→6월 수량</t>
        </is>
      </c>
      <c r="B8" s="2" t="n">
        <v>-84937.24000000001</v>
      </c>
      <c r="C8" t="inlineStr"/>
    </row>
    <row r="9">
      <c r="A9" t="inlineStr">
        <is>
          <t>(참고) 5월→6월 단가</t>
        </is>
      </c>
      <c r="B9" s="2" t="n">
        <v>60101.52</v>
      </c>
      <c r="C9" t="inlineStr"/>
    </row>
    <row r="10">
      <c r="A10" t="inlineStr">
        <is>
          <t>(참고) 5월→6월 믹스</t>
        </is>
      </c>
      <c r="B10" s="2" t="n">
        <v>-41572.88</v>
      </c>
      <c r="C10" t="inlineStr"/>
    </row>
    <row r="12">
      <c r="A12" s="3" t="inlineStr">
        <is>
          <t>메모</t>
        </is>
      </c>
    </row>
    <row r="13">
      <c r="A13" t="inlineStr">
        <is>
          <t>수량 = 주문 수, 단가 = 매출÷주문, 믹스 = 채널별 주문 구성. 이 자료에는 상품·수량·단가 열이 없어 주문 단위로 나눴습니다.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22" customWidth="1" min="5" max="5"/>
    <col width="22" customWidth="1" min="6" max="6"/>
    <col width="20" customWidth="1" min="7" max="7"/>
    <col width="14" customWidth="1" min="8" max="8"/>
    <col width="16" customWidth="1" min="9" max="9"/>
    <col width="26" customWidth="1" min="10" max="10"/>
    <col width="28" customWidth="1" min="11" max="11"/>
    <col width="16" customWidth="1" min="12" max="12"/>
    <col width="24" customWidth="1" min="13" max="13"/>
  </cols>
  <sheetData>
    <row r="1">
      <c r="A1" s="1" t="inlineStr">
        <is>
          <t>채널</t>
        </is>
      </c>
      <c r="B1" s="1" t="inlineStr">
        <is>
          <t>7월 매출</t>
        </is>
      </c>
      <c r="C1" s="1" t="inlineStr">
        <is>
          <t>7월 일평균매출</t>
        </is>
      </c>
      <c r="D1" s="1" t="inlineStr">
        <is>
          <t>6월 일평균매출</t>
        </is>
      </c>
      <c r="E1" s="1" t="inlineStr">
        <is>
          <t>일평균 증감(%)</t>
        </is>
      </c>
      <c r="F1" s="1" t="inlineStr">
        <is>
          <t>일평균 증감(원)</t>
        </is>
      </c>
      <c r="G1" s="1" t="inlineStr">
        <is>
          <t>7월 비중(%)</t>
        </is>
      </c>
      <c r="H1" s="1" t="inlineStr">
        <is>
          <t>7월 주문</t>
        </is>
      </c>
      <c r="I1" s="1" t="inlineStr">
        <is>
          <t>7월 AOV</t>
        </is>
      </c>
      <c r="J1" s="1" t="inlineStr">
        <is>
          <t>7월 주문전환율(%)</t>
        </is>
      </c>
      <c r="K1" s="1" t="inlineStr">
        <is>
          <t>세션 일평균 증감(%)</t>
        </is>
      </c>
      <c r="L1" s="1" t="inlineStr">
        <is>
          <t>이익[추정]</t>
        </is>
      </c>
      <c r="M1" s="1" t="inlineStr">
        <is>
          <t>수익률[추정](%)</t>
        </is>
      </c>
    </row>
    <row r="2">
      <c r="A2" t="inlineStr">
        <is>
          <t>뉴스레터</t>
        </is>
      </c>
      <c r="B2" s="2" t="n">
        <v>37807000</v>
      </c>
      <c r="C2" s="2" t="n">
        <v>1303689.66</v>
      </c>
      <c r="D2" s="2" t="n">
        <v>1073000</v>
      </c>
      <c r="E2" t="n">
        <v>21.5</v>
      </c>
      <c r="F2" s="2" t="n">
        <v>230689.66</v>
      </c>
      <c r="G2" t="n">
        <v>18.91</v>
      </c>
      <c r="H2" t="n">
        <v>556</v>
      </c>
      <c r="I2" s="2" t="n">
        <v>67998.2</v>
      </c>
      <c r="J2" t="n">
        <v>1.58</v>
      </c>
      <c r="K2" t="n">
        <v>-2.32</v>
      </c>
      <c r="L2" s="2" t="n">
        <v>18903500</v>
      </c>
      <c r="M2" t="n">
        <v>50</v>
      </c>
    </row>
    <row r="3">
      <c r="A3" t="inlineStr">
        <is>
          <t>직접유입</t>
        </is>
      </c>
      <c r="B3" s="2" t="n">
        <v>36942000</v>
      </c>
      <c r="C3" s="2" t="n">
        <v>1273862.07</v>
      </c>
      <c r="D3" s="2" t="n">
        <v>1274033.33</v>
      </c>
      <c r="E3" t="n">
        <v>-0.01</v>
      </c>
      <c r="F3" t="n">
        <v>-171.26</v>
      </c>
      <c r="G3" t="n">
        <v>18.47</v>
      </c>
      <c r="H3" t="n">
        <v>551</v>
      </c>
      <c r="I3" s="2" t="n">
        <v>67045.37</v>
      </c>
      <c r="J3" t="n">
        <v>1.53</v>
      </c>
      <c r="K3" t="n">
        <v>2.92</v>
      </c>
      <c r="L3" s="2" t="n">
        <v>18471000</v>
      </c>
      <c r="M3" t="n">
        <v>50</v>
      </c>
    </row>
    <row r="4">
      <c r="A4" t="inlineStr">
        <is>
          <t>메타광고</t>
        </is>
      </c>
      <c r="B4" s="2" t="n">
        <v>33737000</v>
      </c>
      <c r="C4" s="2" t="n">
        <v>1163344.83</v>
      </c>
      <c r="D4" s="2" t="n">
        <v>1278966.67</v>
      </c>
      <c r="E4" t="n">
        <v>-9.039999999999999</v>
      </c>
      <c r="F4" s="2" t="n">
        <v>-115621.84</v>
      </c>
      <c r="G4" t="n">
        <v>16.87</v>
      </c>
      <c r="H4" t="n">
        <v>499</v>
      </c>
      <c r="I4" s="2" t="n">
        <v>67609.22</v>
      </c>
      <c r="J4" t="n">
        <v>1.69</v>
      </c>
      <c r="K4" t="n">
        <v>-21.26</v>
      </c>
      <c r="L4" s="2" t="n">
        <v>16868500</v>
      </c>
      <c r="M4" t="n">
        <v>50</v>
      </c>
    </row>
    <row r="5">
      <c r="A5" t="inlineStr">
        <is>
          <t>유료검색</t>
        </is>
      </c>
      <c r="B5" s="2" t="n">
        <v>31478000</v>
      </c>
      <c r="C5" s="2" t="n">
        <v>1085448.28</v>
      </c>
      <c r="D5" s="2" t="n">
        <v>1332600</v>
      </c>
      <c r="E5" t="n">
        <v>-18.55</v>
      </c>
      <c r="F5" s="2" t="n">
        <v>-247151.72</v>
      </c>
      <c r="G5" t="n">
        <v>15.74</v>
      </c>
      <c r="H5" t="n">
        <v>529</v>
      </c>
      <c r="I5" s="2" t="n">
        <v>59504.73</v>
      </c>
      <c r="J5" t="n">
        <v>1.56</v>
      </c>
      <c r="K5" t="n">
        <v>-14.41</v>
      </c>
      <c r="L5" s="2" t="n">
        <v>15739000</v>
      </c>
      <c r="M5" t="n">
        <v>50</v>
      </c>
    </row>
    <row r="6">
      <c r="A6" t="inlineStr">
        <is>
          <t>자연검색</t>
        </is>
      </c>
      <c r="B6" s="2" t="n">
        <v>31367000</v>
      </c>
      <c r="C6" s="2" t="n">
        <v>1081620.69</v>
      </c>
      <c r="D6" s="2" t="n">
        <v>1103333.33</v>
      </c>
      <c r="E6" t="n">
        <v>-1.97</v>
      </c>
      <c r="F6" s="2" t="n">
        <v>-21712.64</v>
      </c>
      <c r="G6" t="n">
        <v>15.69</v>
      </c>
      <c r="H6" t="n">
        <v>524</v>
      </c>
      <c r="I6" s="2" t="n">
        <v>59860.69</v>
      </c>
      <c r="J6" t="n">
        <v>1.49</v>
      </c>
      <c r="K6" t="n">
        <v>13.28</v>
      </c>
      <c r="L6" s="2" t="n">
        <v>15683500</v>
      </c>
      <c r="M6" t="n">
        <v>50</v>
      </c>
    </row>
    <row r="7">
      <c r="A7" t="inlineStr">
        <is>
          <t>인스타</t>
        </is>
      </c>
      <c r="B7" s="2" t="n">
        <v>28633000</v>
      </c>
      <c r="C7" s="2" t="n">
        <v>987344.83</v>
      </c>
      <c r="D7" s="2" t="n">
        <v>1632400</v>
      </c>
      <c r="E7" t="n">
        <v>-39.52</v>
      </c>
      <c r="F7" s="2" t="n">
        <v>-645055.17</v>
      </c>
      <c r="G7" t="n">
        <v>14.32</v>
      </c>
      <c r="H7" t="n">
        <v>458</v>
      </c>
      <c r="I7" s="2" t="n">
        <v>62517.47</v>
      </c>
      <c r="J7" t="n">
        <v>1.47</v>
      </c>
      <c r="K7" t="n">
        <v>-22.52</v>
      </c>
      <c r="L7" s="2" t="n">
        <v>14316500</v>
      </c>
      <c r="M7" t="n">
        <v>50</v>
      </c>
    </row>
  </sheetData>
  <autoFilter ref="A1:M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채널</t>
        </is>
      </c>
      <c r="B1" s="1" t="inlineStr">
        <is>
          <t>세션</t>
        </is>
      </c>
      <c r="C1" s="1" t="inlineStr">
        <is>
          <t>주문</t>
        </is>
      </c>
      <c r="D1" s="1" t="inlineStr">
        <is>
          <t>매출</t>
        </is>
      </c>
      <c r="E1" s="1" t="inlineStr">
        <is>
          <t>비중(%)</t>
        </is>
      </c>
      <c r="F1" s="1" t="inlineStr">
        <is>
          <t>누적(%)</t>
        </is>
      </c>
    </row>
    <row r="2">
      <c r="A2" t="inlineStr">
        <is>
          <t>직접유입</t>
        </is>
      </c>
      <c r="B2" s="2" t="n">
        <v>115238</v>
      </c>
      <c r="C2" s="2" t="n">
        <v>1864</v>
      </c>
      <c r="D2" s="2" t="n">
        <v>120628000</v>
      </c>
      <c r="E2" t="n">
        <v>17.97</v>
      </c>
      <c r="F2" t="n">
        <v>17.97</v>
      </c>
    </row>
    <row r="3">
      <c r="A3" t="inlineStr">
        <is>
          <t>인스타</t>
        </is>
      </c>
      <c r="B3" s="2" t="n">
        <v>111088</v>
      </c>
      <c r="C3" s="2" t="n">
        <v>1775</v>
      </c>
      <c r="D3" s="2" t="n">
        <v>115308000</v>
      </c>
      <c r="E3" t="n">
        <v>17.17</v>
      </c>
      <c r="F3" t="n">
        <v>35.14</v>
      </c>
    </row>
    <row r="4">
      <c r="A4" t="inlineStr">
        <is>
          <t>뉴스레터</t>
        </is>
      </c>
      <c r="B4" s="2" t="n">
        <v>110715</v>
      </c>
      <c r="C4" s="2" t="n">
        <v>1726</v>
      </c>
      <c r="D4" s="2" t="n">
        <v>113880000</v>
      </c>
      <c r="E4" t="n">
        <v>16.96</v>
      </c>
      <c r="F4" t="n">
        <v>52.1</v>
      </c>
    </row>
    <row r="5">
      <c r="A5" t="inlineStr">
        <is>
          <t>유료검색</t>
        </is>
      </c>
      <c r="B5" s="2" t="n">
        <v>112565</v>
      </c>
      <c r="C5" s="2" t="n">
        <v>1755</v>
      </c>
      <c r="D5" s="2" t="n">
        <v>108063000</v>
      </c>
      <c r="E5" t="n">
        <v>16.1</v>
      </c>
      <c r="F5" t="n">
        <v>68.2</v>
      </c>
    </row>
    <row r="6">
      <c r="A6" t="inlineStr">
        <is>
          <t>자연검색</t>
        </is>
      </c>
      <c r="B6" s="2" t="n">
        <v>105729</v>
      </c>
      <c r="C6" s="2" t="n">
        <v>1639</v>
      </c>
      <c r="D6" s="2" t="n">
        <v>106948000</v>
      </c>
      <c r="E6" t="n">
        <v>15.93</v>
      </c>
      <c r="F6" t="n">
        <v>84.13</v>
      </c>
    </row>
    <row r="7">
      <c r="A7" t="inlineStr">
        <is>
          <t>메타광고</t>
        </is>
      </c>
      <c r="B7" s="2" t="n">
        <v>107569</v>
      </c>
      <c r="C7" s="2" t="n">
        <v>1666</v>
      </c>
      <c r="D7" s="2" t="n">
        <v>106550000</v>
      </c>
      <c r="E7" t="n">
        <v>15.87</v>
      </c>
      <c r="F7" t="n">
        <v>100</v>
      </c>
    </row>
    <row r="9">
      <c r="A9" s="3" t="inlineStr">
        <is>
          <t>메모</t>
        </is>
      </c>
    </row>
    <row r="10">
      <c r="A10" t="inlineStr">
        <is>
          <t>상품 열이 없어 상품 파레토 대신 채널 파레토입니다.</t>
        </is>
      </c>
    </row>
    <row r="11">
      <c r="A11" t="inlineStr">
        <is>
          <t>누적 80%에 닿는 채널 수: 5개 / 6개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세션</t>
        </is>
      </c>
      <c r="D1" s="1" t="inlineStr">
        <is>
          <t>주문</t>
        </is>
      </c>
      <c r="E1" s="1" t="inlineStr">
        <is>
          <t>매출</t>
        </is>
      </c>
      <c r="F1" s="1" t="inlineStr">
        <is>
          <t>같은요일평균</t>
        </is>
      </c>
      <c r="G1" s="1" t="inlineStr">
        <is>
          <t>잔차</t>
        </is>
      </c>
      <c r="H1" s="1" t="inlineStr">
        <is>
          <t>잔차(σ)</t>
        </is>
      </c>
      <c r="I1" s="1" t="inlineStr">
        <is>
          <t>7일이동평균</t>
        </is>
      </c>
      <c r="J1" s="1" t="inlineStr">
        <is>
          <t>판정</t>
        </is>
      </c>
    </row>
    <row r="2">
      <c r="A2" t="inlineStr">
        <is>
          <t>2026-05-01</t>
        </is>
      </c>
      <c r="B2" t="inlineStr">
        <is>
          <t>금</t>
        </is>
      </c>
      <c r="C2" s="2" t="n">
        <v>7792</v>
      </c>
      <c r="D2" t="n">
        <v>115</v>
      </c>
      <c r="E2" s="2" t="n">
        <v>7644000</v>
      </c>
      <c r="F2" s="2" t="n">
        <v>7915461.54</v>
      </c>
      <c r="G2" s="2" t="n">
        <v>-271461.54</v>
      </c>
      <c r="H2" t="n">
        <v>-0.13</v>
      </c>
      <c r="I2" s="2" t="n">
        <v>7677750</v>
      </c>
      <c r="J2" t="inlineStr"/>
    </row>
    <row r="3">
      <c r="A3" t="inlineStr">
        <is>
          <t>2026-05-02</t>
        </is>
      </c>
      <c r="B3" t="inlineStr">
        <is>
          <t>토</t>
        </is>
      </c>
      <c r="C3" s="2" t="n">
        <v>6567</v>
      </c>
      <c r="D3" t="n">
        <v>94</v>
      </c>
      <c r="E3" s="2" t="n">
        <v>5155000</v>
      </c>
      <c r="F3" s="2" t="n">
        <v>6788076.92</v>
      </c>
      <c r="G3" s="2" t="n">
        <v>-1633076.92</v>
      </c>
      <c r="H3" t="n">
        <v>-0.76</v>
      </c>
      <c r="I3" s="2" t="n">
        <v>7279000</v>
      </c>
      <c r="J3" t="inlineStr"/>
    </row>
    <row r="4">
      <c r="A4" t="inlineStr">
        <is>
          <t>2026-05-03</t>
        </is>
      </c>
      <c r="B4" t="inlineStr">
        <is>
          <t>일</t>
        </is>
      </c>
      <c r="C4" s="2" t="n">
        <v>8153</v>
      </c>
      <c r="D4" t="n">
        <v>150</v>
      </c>
      <c r="E4" s="2" t="n">
        <v>8419000</v>
      </c>
      <c r="F4" s="2" t="n">
        <v>8049461.54</v>
      </c>
      <c r="G4" s="2" t="n">
        <v>369538.46</v>
      </c>
      <c r="H4" t="n">
        <v>0.17</v>
      </c>
      <c r="I4" s="2" t="n">
        <v>6971166.67</v>
      </c>
      <c r="J4" t="inlineStr"/>
    </row>
    <row r="5">
      <c r="A5" t="inlineStr">
        <is>
          <t>2026-05-04</t>
        </is>
      </c>
      <c r="B5" t="inlineStr">
        <is>
          <t>월</t>
        </is>
      </c>
      <c r="C5" s="2" t="n">
        <v>8411</v>
      </c>
      <c r="D5" t="n">
        <v>109</v>
      </c>
      <c r="E5" s="2" t="n">
        <v>9493000</v>
      </c>
      <c r="F5" s="2" t="n">
        <v>8164307.69</v>
      </c>
      <c r="G5" s="2" t="n">
        <v>1328692.31</v>
      </c>
      <c r="H5" t="n">
        <v>0.62</v>
      </c>
      <c r="I5" s="2" t="n">
        <v>6791571.43</v>
      </c>
      <c r="J5" t="inlineStr"/>
    </row>
    <row r="6">
      <c r="A6" t="inlineStr">
        <is>
          <t>2026-05-05</t>
        </is>
      </c>
      <c r="B6" t="inlineStr">
        <is>
          <t>화</t>
        </is>
      </c>
      <c r="C6" s="2" t="n">
        <v>7218</v>
      </c>
      <c r="D6" t="n">
        <v>114</v>
      </c>
      <c r="E6" s="2" t="n">
        <v>5684000</v>
      </c>
      <c r="F6" s="2" t="n">
        <v>7888461.54</v>
      </c>
      <c r="G6" s="2" t="n">
        <v>-2204461.54</v>
      </c>
      <c r="H6" t="n">
        <v>-1.02</v>
      </c>
      <c r="I6" s="2" t="n">
        <v>7001000</v>
      </c>
      <c r="J6" t="inlineStr"/>
    </row>
    <row r="7">
      <c r="A7" t="inlineStr">
        <is>
          <t>2026-05-06</t>
        </is>
      </c>
      <c r="B7" t="inlineStr">
        <is>
          <t>수</t>
        </is>
      </c>
      <c r="C7" s="2" t="n">
        <v>6394</v>
      </c>
      <c r="D7" t="n">
        <v>89</v>
      </c>
      <c r="E7" s="2" t="n">
        <v>5432000</v>
      </c>
      <c r="F7" s="2" t="n">
        <v>6679461.54</v>
      </c>
      <c r="G7" s="2" t="n">
        <v>-1247461.54</v>
      </c>
      <c r="H7" t="n">
        <v>-0.58</v>
      </c>
      <c r="I7" s="2" t="n">
        <v>7458714.29</v>
      </c>
      <c r="J7" t="inlineStr"/>
    </row>
    <row r="8">
      <c r="A8" t="inlineStr">
        <is>
          <t>2026-05-07</t>
        </is>
      </c>
      <c r="B8" t="inlineStr">
        <is>
          <t>목</t>
        </is>
      </c>
      <c r="C8" s="2" t="n">
        <v>5569</v>
      </c>
      <c r="D8" t="n">
        <v>82</v>
      </c>
      <c r="E8" s="2" t="n">
        <v>5714000</v>
      </c>
      <c r="F8" s="2" t="n">
        <v>6672416.67</v>
      </c>
      <c r="G8" s="2" t="n">
        <v>-958416.67</v>
      </c>
      <c r="H8" t="n">
        <v>-0.44</v>
      </c>
      <c r="I8" s="2" t="n">
        <v>7033428.57</v>
      </c>
      <c r="J8" t="inlineStr"/>
    </row>
    <row r="9">
      <c r="A9" t="inlineStr">
        <is>
          <t>2026-05-08</t>
        </is>
      </c>
      <c r="B9" t="inlineStr">
        <is>
          <t>금</t>
        </is>
      </c>
      <c r="C9" s="2" t="n">
        <v>6775</v>
      </c>
      <c r="D9" t="n">
        <v>124</v>
      </c>
      <c r="E9" s="2" t="n">
        <v>9110000</v>
      </c>
      <c r="F9" s="2" t="n">
        <v>7915461.54</v>
      </c>
      <c r="G9" s="2" t="n">
        <v>1194538.46</v>
      </c>
      <c r="H9" t="n">
        <v>0.55</v>
      </c>
      <c r="I9" s="2" t="n">
        <v>6665428.57</v>
      </c>
      <c r="J9" t="inlineStr"/>
    </row>
    <row r="10">
      <c r="A10" t="inlineStr">
        <is>
          <t>2026-05-09</t>
        </is>
      </c>
      <c r="B10" t="inlineStr">
        <is>
          <t>토</t>
        </is>
      </c>
      <c r="C10" s="2" t="n">
        <v>7461</v>
      </c>
      <c r="D10" t="n">
        <v>147</v>
      </c>
      <c r="E10" s="2" t="n">
        <v>8359000</v>
      </c>
      <c r="F10" s="2" t="n">
        <v>6788076.92</v>
      </c>
      <c r="G10" s="2" t="n">
        <v>1570923.08</v>
      </c>
      <c r="H10" t="n">
        <v>0.73</v>
      </c>
      <c r="I10" s="2" t="n">
        <v>7769428.57</v>
      </c>
      <c r="J10" t="inlineStr"/>
    </row>
    <row r="11">
      <c r="A11" t="inlineStr">
        <is>
          <t>2026-05-10</t>
        </is>
      </c>
      <c r="B11" t="inlineStr">
        <is>
          <t>일</t>
        </is>
      </c>
      <c r="C11" s="2" t="n">
        <v>5881</v>
      </c>
      <c r="D11" t="n">
        <v>94</v>
      </c>
      <c r="E11" s="2" t="n">
        <v>5442000</v>
      </c>
      <c r="F11" s="2" t="n">
        <v>8049461.54</v>
      </c>
      <c r="G11" s="2" t="n">
        <v>-2607461.54</v>
      </c>
      <c r="H11" t="n">
        <v>-1.21</v>
      </c>
      <c r="I11" s="2" t="n">
        <v>8084857.14</v>
      </c>
      <c r="J11" t="inlineStr"/>
    </row>
    <row r="12">
      <c r="A12" t="inlineStr">
        <is>
          <t>2026-05-11</t>
        </is>
      </c>
      <c r="B12" t="inlineStr">
        <is>
          <t>월</t>
        </is>
      </c>
      <c r="C12" s="2" t="n">
        <v>8103</v>
      </c>
      <c r="D12" t="n">
        <v>126</v>
      </c>
      <c r="E12" s="2" t="n">
        <v>6917000</v>
      </c>
      <c r="F12" s="2" t="n">
        <v>8164307.69</v>
      </c>
      <c r="G12" s="2" t="n">
        <v>-1247307.69</v>
      </c>
      <c r="H12" t="n">
        <v>-0.58</v>
      </c>
      <c r="I12" s="2" t="n">
        <v>8349714.29</v>
      </c>
      <c r="J12" t="inlineStr"/>
    </row>
    <row r="13">
      <c r="A13" t="inlineStr">
        <is>
          <t>2026-05-12</t>
        </is>
      </c>
      <c r="B13" t="inlineStr">
        <is>
          <t>화</t>
        </is>
      </c>
      <c r="C13" s="2" t="n">
        <v>10197</v>
      </c>
      <c r="D13" t="n">
        <v>196</v>
      </c>
      <c r="E13" s="2" t="n">
        <v>13412000</v>
      </c>
      <c r="F13" s="2" t="n">
        <v>7888461.54</v>
      </c>
      <c r="G13" s="2" t="n">
        <v>5523538.46</v>
      </c>
      <c r="H13" t="n">
        <v>2.56</v>
      </c>
      <c r="I13" s="2" t="n">
        <v>8701142.859999999</v>
      </c>
      <c r="J13" t="inlineStr">
        <is>
          <t>주의(2σ)</t>
        </is>
      </c>
    </row>
    <row r="14">
      <c r="A14" t="inlineStr">
        <is>
          <t>2026-05-13</t>
        </is>
      </c>
      <c r="B14" t="inlineStr">
        <is>
          <t>수</t>
        </is>
      </c>
      <c r="C14" s="2" t="n">
        <v>7436</v>
      </c>
      <c r="D14" t="n">
        <v>98</v>
      </c>
      <c r="E14" s="2" t="n">
        <v>7640000</v>
      </c>
      <c r="F14" s="2" t="n">
        <v>6679461.54</v>
      </c>
      <c r="G14" s="2" t="n">
        <v>960538.46</v>
      </c>
      <c r="H14" t="n">
        <v>0.45</v>
      </c>
      <c r="I14" s="2" t="n">
        <v>8559714.289999999</v>
      </c>
      <c r="J14" t="inlineStr"/>
    </row>
    <row r="15">
      <c r="A15" t="inlineStr">
        <is>
          <t>2026-05-14</t>
        </is>
      </c>
      <c r="B15" t="inlineStr">
        <is>
          <t>목</t>
        </is>
      </c>
      <c r="C15" s="2" t="n">
        <v>9029</v>
      </c>
      <c r="D15" t="n">
        <v>108</v>
      </c>
      <c r="E15" s="2" t="n">
        <v>7568000</v>
      </c>
      <c r="F15" s="2" t="n">
        <v>6672416.67</v>
      </c>
      <c r="G15" s="2" t="n">
        <v>895583.33</v>
      </c>
      <c r="H15" t="n">
        <v>0.42</v>
      </c>
      <c r="I15" s="2" t="n">
        <v>8833285.710000001</v>
      </c>
      <c r="J15" t="inlineStr"/>
    </row>
    <row r="16">
      <c r="A16" t="inlineStr">
        <is>
          <t>2026-05-15</t>
        </is>
      </c>
      <c r="B16" t="inlineStr">
        <is>
          <t>금</t>
        </is>
      </c>
      <c r="C16" s="2" t="n">
        <v>10068</v>
      </c>
      <c r="D16" t="n">
        <v>188</v>
      </c>
      <c r="E16" s="2" t="n">
        <v>11570000</v>
      </c>
      <c r="F16" s="2" t="n">
        <v>7915461.54</v>
      </c>
      <c r="G16" s="2" t="n">
        <v>3654538.46</v>
      </c>
      <c r="H16" t="n">
        <v>1.7</v>
      </c>
      <c r="I16" s="2" t="n">
        <v>8521000</v>
      </c>
      <c r="J16" t="inlineStr"/>
    </row>
    <row r="17">
      <c r="A17" t="inlineStr">
        <is>
          <t>2026-05-16</t>
        </is>
      </c>
      <c r="B17" t="inlineStr">
        <is>
          <t>토</t>
        </is>
      </c>
      <c r="C17" s="2" t="n">
        <v>7956</v>
      </c>
      <c r="D17" t="n">
        <v>123</v>
      </c>
      <c r="E17" s="2" t="n">
        <v>7369000</v>
      </c>
      <c r="F17" s="2" t="n">
        <v>6788076.92</v>
      </c>
      <c r="G17" s="2" t="n">
        <v>580923.08</v>
      </c>
      <c r="H17" t="n">
        <v>0.27</v>
      </c>
      <c r="I17" s="2" t="n">
        <v>8079142.86</v>
      </c>
      <c r="J17" t="inlineStr"/>
    </row>
    <row r="18">
      <c r="A18" t="inlineStr">
        <is>
          <t>2026-05-17</t>
        </is>
      </c>
      <c r="B18" t="inlineStr">
        <is>
          <t>일</t>
        </is>
      </c>
      <c r="C18" s="2" t="n">
        <v>10247</v>
      </c>
      <c r="D18" t="n">
        <v>143</v>
      </c>
      <c r="E18" s="2" t="n">
        <v>7357000</v>
      </c>
      <c r="F18" s="2" t="n">
        <v>8049461.54</v>
      </c>
      <c r="G18" s="2" t="n">
        <v>-692461.54</v>
      </c>
      <c r="H18" t="n">
        <v>-0.32</v>
      </c>
      <c r="I18" s="2" t="n">
        <v>7314142.86</v>
      </c>
      <c r="J18" t="inlineStr"/>
    </row>
    <row r="19">
      <c r="A19" t="inlineStr">
        <is>
          <t>2026-05-18</t>
        </is>
      </c>
      <c r="B19" t="inlineStr">
        <is>
          <t>월</t>
        </is>
      </c>
      <c r="C19" s="2" t="n">
        <v>8629</v>
      </c>
      <c r="D19" t="n">
        <v>99</v>
      </c>
      <c r="E19" s="2" t="n">
        <v>4731000</v>
      </c>
      <c r="F19" s="2" t="n">
        <v>8164307.69</v>
      </c>
      <c r="G19" s="2" t="n">
        <v>-3433307.69</v>
      </c>
      <c r="H19" t="n">
        <v>-1.59</v>
      </c>
      <c r="I19" s="2" t="n">
        <v>7114857.14</v>
      </c>
      <c r="J19" t="inlineStr"/>
    </row>
    <row r="20">
      <c r="A20" t="inlineStr">
        <is>
          <t>2026-05-19</t>
        </is>
      </c>
      <c r="B20" t="inlineStr">
        <is>
          <t>화</t>
        </is>
      </c>
      <c r="C20" s="2" t="n">
        <v>7879</v>
      </c>
      <c r="D20" t="n">
        <v>142</v>
      </c>
      <c r="E20" s="2" t="n">
        <v>10319000</v>
      </c>
      <c r="F20" s="2" t="n">
        <v>7888461.54</v>
      </c>
      <c r="G20" s="2" t="n">
        <v>2430538.46</v>
      </c>
      <c r="H20" t="n">
        <v>1.13</v>
      </c>
      <c r="I20" s="2" t="n">
        <v>6741571.43</v>
      </c>
      <c r="J20" t="inlineStr"/>
    </row>
    <row r="21">
      <c r="A21" t="inlineStr">
        <is>
          <t>2026-05-20</t>
        </is>
      </c>
      <c r="B21" t="inlineStr">
        <is>
          <t>수</t>
        </is>
      </c>
      <c r="C21" s="2" t="n">
        <v>3481</v>
      </c>
      <c r="D21" t="n">
        <v>38</v>
      </c>
      <c r="E21" s="2" t="n">
        <v>2285000</v>
      </c>
      <c r="F21" s="2" t="n">
        <v>6679461.54</v>
      </c>
      <c r="G21" s="2" t="n">
        <v>-4394461.54</v>
      </c>
      <c r="H21" t="n">
        <v>-2.04</v>
      </c>
      <c r="I21" s="2" t="n">
        <v>6650857.14</v>
      </c>
      <c r="J21" t="inlineStr">
        <is>
          <t>주의(2σ)</t>
        </is>
      </c>
    </row>
    <row r="22">
      <c r="A22" t="inlineStr">
        <is>
          <t>2026-05-21</t>
        </is>
      </c>
      <c r="B22" t="inlineStr">
        <is>
          <t>목</t>
        </is>
      </c>
      <c r="C22" s="2" t="n">
        <v>5697</v>
      </c>
      <c r="D22" t="n">
        <v>118</v>
      </c>
      <c r="E22" s="2" t="n">
        <v>6173000</v>
      </c>
      <c r="F22" s="2" t="n">
        <v>6672416.67</v>
      </c>
      <c r="G22" s="2" t="n">
        <v>-499416.67</v>
      </c>
      <c r="H22" t="n">
        <v>-0.23</v>
      </c>
      <c r="I22" s="2" t="n">
        <v>7052714.29</v>
      </c>
      <c r="J22" t="inlineStr"/>
    </row>
    <row r="23">
      <c r="A23" t="inlineStr">
        <is>
          <t>2026-05-22</t>
        </is>
      </c>
      <c r="B23" t="inlineStr">
        <is>
          <t>금</t>
        </is>
      </c>
      <c r="C23" s="2" t="n">
        <v>9330</v>
      </c>
      <c r="D23" t="n">
        <v>147</v>
      </c>
      <c r="E23" s="2" t="n">
        <v>8957000</v>
      </c>
      <c r="F23" s="2" t="n">
        <v>7915461.54</v>
      </c>
      <c r="G23" s="2" t="n">
        <v>1041538.46</v>
      </c>
      <c r="H23" t="n">
        <v>0.48</v>
      </c>
      <c r="I23" s="2" t="n">
        <v>7467714.29</v>
      </c>
      <c r="J23" t="inlineStr"/>
    </row>
    <row r="24">
      <c r="A24" t="inlineStr">
        <is>
          <t>2026-05-23</t>
        </is>
      </c>
      <c r="B24" t="inlineStr">
        <is>
          <t>토</t>
        </is>
      </c>
      <c r="C24" s="2" t="n">
        <v>8508</v>
      </c>
      <c r="D24" t="n">
        <v>133</v>
      </c>
      <c r="E24" s="2" t="n">
        <v>6734000</v>
      </c>
      <c r="F24" s="2" t="n">
        <v>6788076.92</v>
      </c>
      <c r="G24" s="2" t="n">
        <v>-54076.92</v>
      </c>
      <c r="H24" t="n">
        <v>-0.03</v>
      </c>
      <c r="I24" s="2" t="n">
        <v>7152428.57</v>
      </c>
      <c r="J24" t="inlineStr"/>
    </row>
    <row r="25">
      <c r="A25" t="inlineStr">
        <is>
          <t>2026-05-24</t>
        </is>
      </c>
      <c r="B25" t="inlineStr">
        <is>
          <t>일</t>
        </is>
      </c>
      <c r="C25" s="2" t="n">
        <v>9712</v>
      </c>
      <c r="D25" t="n">
        <v>134</v>
      </c>
      <c r="E25" s="2" t="n">
        <v>10170000</v>
      </c>
      <c r="F25" s="2" t="n">
        <v>8049461.54</v>
      </c>
      <c r="G25" s="2" t="n">
        <v>2120538.46</v>
      </c>
      <c r="H25" t="n">
        <v>0.98</v>
      </c>
      <c r="I25" s="2" t="n">
        <v>8162000</v>
      </c>
      <c r="J25" t="inlineStr"/>
    </row>
    <row r="26">
      <c r="A26" t="inlineStr">
        <is>
          <t>2026-05-25</t>
        </is>
      </c>
      <c r="B26" t="inlineStr">
        <is>
          <t>월</t>
        </is>
      </c>
      <c r="C26" s="2" t="n">
        <v>6010</v>
      </c>
      <c r="D26" t="n">
        <v>92</v>
      </c>
      <c r="E26" s="2" t="n">
        <v>7636000</v>
      </c>
      <c r="F26" s="2" t="n">
        <v>8164307.69</v>
      </c>
      <c r="G26" s="2" t="n">
        <v>-528307.6899999999</v>
      </c>
      <c r="H26" t="n">
        <v>-0.25</v>
      </c>
      <c r="I26" s="2" t="n">
        <v>8378000</v>
      </c>
      <c r="J26" t="inlineStr"/>
    </row>
    <row r="27">
      <c r="A27" t="inlineStr">
        <is>
          <t>2026-05-26</t>
        </is>
      </c>
      <c r="B27" t="inlineStr">
        <is>
          <t>화</t>
        </is>
      </c>
      <c r="C27" s="2" t="n">
        <v>6967</v>
      </c>
      <c r="D27" t="n">
        <v>143</v>
      </c>
      <c r="E27" s="2" t="n">
        <v>8112000</v>
      </c>
      <c r="F27" s="2" t="n">
        <v>7888461.54</v>
      </c>
      <c r="G27" s="2" t="n">
        <v>223538.46</v>
      </c>
      <c r="H27" t="n">
        <v>0.1</v>
      </c>
      <c r="I27" s="2" t="n">
        <v>7853000</v>
      </c>
      <c r="J27" t="inlineStr"/>
    </row>
    <row r="28">
      <c r="A28" t="inlineStr">
        <is>
          <t>2026-05-27</t>
        </is>
      </c>
      <c r="B28" t="inlineStr">
        <is>
          <t>수</t>
        </is>
      </c>
      <c r="C28" s="2" t="n">
        <v>8407</v>
      </c>
      <c r="D28" t="n">
        <v>135</v>
      </c>
      <c r="E28" s="2" t="n">
        <v>9352000</v>
      </c>
      <c r="F28" s="2" t="n">
        <v>6679461.54</v>
      </c>
      <c r="G28" s="2" t="n">
        <v>2672538.46</v>
      </c>
      <c r="H28" t="n">
        <v>1.24</v>
      </c>
      <c r="I28" s="2" t="n">
        <v>8273000</v>
      </c>
      <c r="J28" t="inlineStr"/>
    </row>
    <row r="29">
      <c r="A29" t="inlineStr">
        <is>
          <t>2026-05-28</t>
        </is>
      </c>
      <c r="B29" t="inlineStr">
        <is>
          <t>목</t>
        </is>
      </c>
      <c r="C29" s="2" t="n">
        <v>7823</v>
      </c>
      <c r="D29" t="n">
        <v>112</v>
      </c>
      <c r="E29" s="2" t="n">
        <v>7685000</v>
      </c>
      <c r="F29" s="2" t="n">
        <v>6672416.67</v>
      </c>
      <c r="G29" s="2" t="n">
        <v>1012583.33</v>
      </c>
      <c r="H29" t="n">
        <v>0.47</v>
      </c>
      <c r="I29" s="2" t="n">
        <v>8418428.57</v>
      </c>
      <c r="J29" t="inlineStr"/>
    </row>
    <row r="30">
      <c r="A30" t="inlineStr">
        <is>
          <t>2026-05-29</t>
        </is>
      </c>
      <c r="B30" t="inlineStr">
        <is>
          <t>금</t>
        </is>
      </c>
      <c r="C30" s="2" t="n">
        <v>4605</v>
      </c>
      <c r="D30" t="n">
        <v>72</v>
      </c>
      <c r="E30" s="2" t="n">
        <v>5282000</v>
      </c>
      <c r="F30" s="2" t="n">
        <v>7915461.54</v>
      </c>
      <c r="G30" s="2" t="n">
        <v>-2633461.54</v>
      </c>
      <c r="H30" t="n">
        <v>-1.22</v>
      </c>
      <c r="I30" s="2" t="n">
        <v>8414000</v>
      </c>
      <c r="J30" t="inlineStr"/>
    </row>
    <row r="31">
      <c r="A31" t="inlineStr">
        <is>
          <t>2026-05-30</t>
        </is>
      </c>
      <c r="B31" t="inlineStr">
        <is>
          <t>토</t>
        </is>
      </c>
      <c r="C31" s="2" t="n">
        <v>8042</v>
      </c>
      <c r="D31" t="n">
        <v>132</v>
      </c>
      <c r="E31" s="2" t="n">
        <v>9674000</v>
      </c>
      <c r="F31" s="2" t="n">
        <v>6788076.92</v>
      </c>
      <c r="G31" s="2" t="n">
        <v>2885923.08</v>
      </c>
      <c r="H31" t="n">
        <v>1.34</v>
      </c>
      <c r="I31" s="2" t="n">
        <v>7944571.43</v>
      </c>
      <c r="J31" t="inlineStr"/>
    </row>
    <row r="32">
      <c r="A32" t="inlineStr">
        <is>
          <t>2026-05-31</t>
        </is>
      </c>
      <c r="B32" t="inlineStr">
        <is>
          <t>일</t>
        </is>
      </c>
      <c r="C32" s="2" t="n">
        <v>6997</v>
      </c>
      <c r="D32" t="n">
        <v>137</v>
      </c>
      <c r="E32" s="2" t="n">
        <v>11188000</v>
      </c>
      <c r="F32" s="2" t="n">
        <v>8049461.54</v>
      </c>
      <c r="G32" s="2" t="n">
        <v>3138538.46</v>
      </c>
      <c r="H32" t="n">
        <v>1.46</v>
      </c>
      <c r="I32" s="2" t="n">
        <v>7837571.43</v>
      </c>
      <c r="J32" t="inlineStr"/>
    </row>
    <row r="33">
      <c r="A33" t="inlineStr">
        <is>
          <t>2026-06-01</t>
        </is>
      </c>
      <c r="B33" t="inlineStr">
        <is>
          <t>월</t>
        </is>
      </c>
      <c r="C33" s="2" t="n">
        <v>6959</v>
      </c>
      <c r="D33" t="n">
        <v>103</v>
      </c>
      <c r="E33" s="2" t="n">
        <v>7605000</v>
      </c>
      <c r="F33" s="2" t="n">
        <v>8164307.69</v>
      </c>
      <c r="G33" s="2" t="n">
        <v>-559307.6899999999</v>
      </c>
      <c r="H33" t="n">
        <v>-0.26</v>
      </c>
      <c r="I33" s="2" t="n">
        <v>7877000</v>
      </c>
      <c r="J33" t="inlineStr"/>
    </row>
    <row r="34">
      <c r="A34" t="inlineStr">
        <is>
          <t>2026-06-02</t>
        </is>
      </c>
      <c r="B34" t="inlineStr">
        <is>
          <t>화</t>
        </is>
      </c>
      <c r="C34" s="2" t="n">
        <v>7111</v>
      </c>
      <c r="D34" t="n">
        <v>77</v>
      </c>
      <c r="E34" s="2" t="n">
        <v>4826000</v>
      </c>
      <c r="F34" s="2" t="n">
        <v>7888461.54</v>
      </c>
      <c r="G34" s="2" t="n">
        <v>-3062461.54</v>
      </c>
      <c r="H34" t="n">
        <v>-1.42</v>
      </c>
      <c r="I34" s="2" t="n">
        <v>8150571.43</v>
      </c>
      <c r="J34" t="inlineStr"/>
    </row>
    <row r="35">
      <c r="A35" t="inlineStr">
        <is>
          <t>2026-06-03</t>
        </is>
      </c>
      <c r="B35" t="inlineStr">
        <is>
          <t>수</t>
        </is>
      </c>
      <c r="C35" s="2" t="n">
        <v>8415</v>
      </c>
      <c r="D35" t="n">
        <v>151</v>
      </c>
      <c r="E35" s="2" t="n">
        <v>8603000</v>
      </c>
      <c r="F35" s="2" t="n">
        <v>6679461.54</v>
      </c>
      <c r="G35" s="2" t="n">
        <v>1923538.46</v>
      </c>
      <c r="H35" t="n">
        <v>0.89</v>
      </c>
      <c r="I35" s="2" t="n">
        <v>7466000</v>
      </c>
      <c r="J35" t="inlineStr"/>
    </row>
    <row r="36">
      <c r="A36" t="inlineStr">
        <is>
          <t>2026-06-04</t>
        </is>
      </c>
      <c r="B36" t="inlineStr">
        <is>
          <t>목</t>
        </is>
      </c>
      <c r="C36" s="2" t="n">
        <v>8919</v>
      </c>
      <c r="D36" t="n">
        <v>100</v>
      </c>
      <c r="E36" s="2" t="n">
        <v>7961000</v>
      </c>
      <c r="F36" s="2" t="n">
        <v>6672416.67</v>
      </c>
      <c r="G36" s="2" t="n">
        <v>1288583.33</v>
      </c>
      <c r="H36" t="n">
        <v>0.6</v>
      </c>
      <c r="I36" s="2" t="n">
        <v>7072714.29</v>
      </c>
      <c r="J36" t="inlineStr"/>
    </row>
    <row r="37">
      <c r="A37" t="inlineStr">
        <is>
          <t>2026-06-05</t>
        </is>
      </c>
      <c r="B37" t="inlineStr">
        <is>
          <t>금</t>
        </is>
      </c>
      <c r="C37" s="2" t="n">
        <v>6871</v>
      </c>
      <c r="D37" t="n">
        <v>98</v>
      </c>
      <c r="E37" s="2" t="n">
        <v>7197000</v>
      </c>
      <c r="F37" s="2" t="n">
        <v>7915461.54</v>
      </c>
      <c r="G37" s="2" t="n">
        <v>-718461.54</v>
      </c>
      <c r="H37" t="n">
        <v>-0.33</v>
      </c>
      <c r="I37" s="2" t="n">
        <v>7485857.14</v>
      </c>
      <c r="J37" t="inlineStr"/>
    </row>
    <row r="38">
      <c r="A38" t="inlineStr">
        <is>
          <t>2026-06-06</t>
        </is>
      </c>
      <c r="B38" t="inlineStr">
        <is>
          <t>토</t>
        </is>
      </c>
      <c r="C38" s="2" t="n">
        <v>6412</v>
      </c>
      <c r="D38" t="n">
        <v>79</v>
      </c>
      <c r="E38" s="2" t="n">
        <v>4882000</v>
      </c>
      <c r="F38" s="2" t="n">
        <v>6788076.92</v>
      </c>
      <c r="G38" s="2" t="n">
        <v>-1906076.92</v>
      </c>
      <c r="H38" t="n">
        <v>-0.88</v>
      </c>
      <c r="I38" s="2" t="n">
        <v>7775857.14</v>
      </c>
      <c r="J38" t="inlineStr"/>
    </row>
    <row r="39">
      <c r="A39" t="inlineStr">
        <is>
          <t>2026-06-07</t>
        </is>
      </c>
      <c r="B39" t="inlineStr">
        <is>
          <t>일</t>
        </is>
      </c>
      <c r="C39" s="2" t="n">
        <v>8819</v>
      </c>
      <c r="D39" t="n">
        <v>134</v>
      </c>
      <c r="E39" s="2" t="n">
        <v>8435000</v>
      </c>
      <c r="F39" s="2" t="n">
        <v>8049461.54</v>
      </c>
      <c r="G39" s="2" t="n">
        <v>385538.46</v>
      </c>
      <c r="H39" t="n">
        <v>0.18</v>
      </c>
      <c r="I39" s="2" t="n">
        <v>7399285.71</v>
      </c>
      <c r="J39" t="inlineStr"/>
    </row>
    <row r="40">
      <c r="A40" t="inlineStr">
        <is>
          <t>2026-06-08</t>
        </is>
      </c>
      <c r="B40" t="inlineStr">
        <is>
          <t>월</t>
        </is>
      </c>
      <c r="C40" s="2" t="n">
        <v>7865</v>
      </c>
      <c r="D40" t="n">
        <v>156</v>
      </c>
      <c r="E40" s="2" t="n">
        <v>10497000</v>
      </c>
      <c r="F40" s="2" t="n">
        <v>8164307.69</v>
      </c>
      <c r="G40" s="2" t="n">
        <v>2332692.31</v>
      </c>
      <c r="H40" t="n">
        <v>1.08</v>
      </c>
      <c r="I40" s="2" t="n">
        <v>7067000</v>
      </c>
      <c r="J40" t="inlineStr"/>
    </row>
    <row r="41">
      <c r="A41" t="inlineStr">
        <is>
          <t>2026-06-09</t>
        </is>
      </c>
      <c r="B41" t="inlineStr">
        <is>
          <t>화</t>
        </is>
      </c>
      <c r="C41" s="2" t="n">
        <v>6782</v>
      </c>
      <c r="D41" t="n">
        <v>111</v>
      </c>
      <c r="E41" s="2" t="n">
        <v>6856000</v>
      </c>
      <c r="F41" s="2" t="n">
        <v>7888461.54</v>
      </c>
      <c r="G41" s="2" t="n">
        <v>-1032461.54</v>
      </c>
      <c r="H41" t="n">
        <v>-0.48</v>
      </c>
      <c r="I41" s="2" t="n">
        <v>7634428.57</v>
      </c>
      <c r="J41" t="inlineStr"/>
    </row>
    <row r="42">
      <c r="A42" t="inlineStr">
        <is>
          <t>2026-06-10</t>
        </is>
      </c>
      <c r="B42" t="inlineStr">
        <is>
          <t>수</t>
        </is>
      </c>
      <c r="C42" s="2" t="n">
        <v>6279</v>
      </c>
      <c r="D42" t="n">
        <v>125</v>
      </c>
      <c r="E42" s="2" t="n">
        <v>5967000</v>
      </c>
      <c r="F42" s="2" t="n">
        <v>6679461.54</v>
      </c>
      <c r="G42" s="2" t="n">
        <v>-712461.54</v>
      </c>
      <c r="H42" t="n">
        <v>-0.33</v>
      </c>
      <c r="I42" s="2" t="n">
        <v>7773000</v>
      </c>
      <c r="J42" t="inlineStr"/>
    </row>
    <row r="43">
      <c r="A43" t="inlineStr">
        <is>
          <t>2026-06-11</t>
        </is>
      </c>
      <c r="B43" t="inlineStr">
        <is>
          <t>목</t>
        </is>
      </c>
      <c r="C43" s="2" t="n">
        <v>8409</v>
      </c>
      <c r="D43" t="n">
        <v>93</v>
      </c>
      <c r="E43" s="2" t="n">
        <v>5635000</v>
      </c>
      <c r="F43" s="2" t="n">
        <v>6672416.67</v>
      </c>
      <c r="G43" s="2" t="n">
        <v>-1037416.67</v>
      </c>
      <c r="H43" t="n">
        <v>-0.48</v>
      </c>
      <c r="I43" s="2" t="n">
        <v>7705714.29</v>
      </c>
      <c r="J43" t="inlineStr"/>
    </row>
    <row r="44">
      <c r="A44" t="inlineStr">
        <is>
          <t>2026-06-12</t>
        </is>
      </c>
      <c r="B44" t="inlineStr">
        <is>
          <t>금</t>
        </is>
      </c>
      <c r="C44" s="2" t="n">
        <v>8348</v>
      </c>
      <c r="D44" t="n">
        <v>155</v>
      </c>
      <c r="E44" s="2" t="n">
        <v>11169000</v>
      </c>
      <c r="F44" s="2" t="n">
        <v>7915461.54</v>
      </c>
      <c r="G44" s="2" t="n">
        <v>3253538.46</v>
      </c>
      <c r="H44" t="n">
        <v>1.51</v>
      </c>
      <c r="I44" s="2" t="n">
        <v>6970000</v>
      </c>
      <c r="J44" t="inlineStr"/>
    </row>
    <row r="45">
      <c r="A45" t="inlineStr">
        <is>
          <t>2026-06-13</t>
        </is>
      </c>
      <c r="B45" t="inlineStr">
        <is>
          <t>토</t>
        </is>
      </c>
      <c r="C45" s="2" t="n">
        <v>8226</v>
      </c>
      <c r="D45" t="n">
        <v>102</v>
      </c>
      <c r="E45" s="2" t="n">
        <v>5852000</v>
      </c>
      <c r="F45" s="2" t="n">
        <v>6788076.92</v>
      </c>
      <c r="G45" s="2" t="n">
        <v>-936076.92</v>
      </c>
      <c r="H45" t="n">
        <v>-0.43</v>
      </c>
      <c r="I45" s="2" t="n">
        <v>7151571.43</v>
      </c>
      <c r="J45" t="inlineStr"/>
    </row>
    <row r="46">
      <c r="A46" t="inlineStr">
        <is>
          <t>2026-06-14</t>
        </is>
      </c>
      <c r="B46" t="inlineStr">
        <is>
          <t>일</t>
        </is>
      </c>
      <c r="C46" s="2" t="n">
        <v>7474</v>
      </c>
      <c r="D46" t="n">
        <v>115</v>
      </c>
      <c r="E46" s="2" t="n">
        <v>7964000</v>
      </c>
      <c r="F46" s="2" t="n">
        <v>8049461.54</v>
      </c>
      <c r="G46" s="2" t="n">
        <v>-85461.53999999999</v>
      </c>
      <c r="H46" t="n">
        <v>-0.04</v>
      </c>
      <c r="I46" s="2" t="n">
        <v>7413857.14</v>
      </c>
      <c r="J46" t="inlineStr"/>
    </row>
    <row r="47">
      <c r="A47" t="inlineStr">
        <is>
          <t>2026-06-15</t>
        </is>
      </c>
      <c r="B47" t="inlineStr">
        <is>
          <t>월</t>
        </is>
      </c>
      <c r="C47" s="2" t="n">
        <v>6361</v>
      </c>
      <c r="D47" t="n">
        <v>82</v>
      </c>
      <c r="E47" s="2" t="n">
        <v>5347000</v>
      </c>
      <c r="F47" s="2" t="n">
        <v>8164307.69</v>
      </c>
      <c r="G47" s="2" t="n">
        <v>-2817307.69</v>
      </c>
      <c r="H47" t="n">
        <v>-1.31</v>
      </c>
      <c r="I47" s="2" t="n">
        <v>7628428.57</v>
      </c>
      <c r="J47" t="inlineStr"/>
    </row>
    <row r="48">
      <c r="A48" t="inlineStr">
        <is>
          <t>2026-06-16</t>
        </is>
      </c>
      <c r="B48" t="inlineStr">
        <is>
          <t>화</t>
        </is>
      </c>
      <c r="C48" s="2" t="n">
        <v>6562</v>
      </c>
      <c r="D48" t="n">
        <v>145</v>
      </c>
      <c r="E48" s="2" t="n">
        <v>8127000</v>
      </c>
      <c r="F48" s="2" t="n">
        <v>7888461.54</v>
      </c>
      <c r="G48" s="2" t="n">
        <v>238538.46</v>
      </c>
      <c r="H48" t="n">
        <v>0.11</v>
      </c>
      <c r="I48" s="2" t="n">
        <v>7435000</v>
      </c>
      <c r="J48" t="inlineStr"/>
    </row>
    <row r="49">
      <c r="A49" t="inlineStr">
        <is>
          <t>2026-06-17</t>
        </is>
      </c>
      <c r="B49" t="inlineStr">
        <is>
          <t>수</t>
        </is>
      </c>
      <c r="C49" s="2" t="n">
        <v>6056</v>
      </c>
      <c r="D49" t="n">
        <v>125</v>
      </c>
      <c r="E49" s="2" t="n">
        <v>7803000</v>
      </c>
      <c r="F49" s="2" t="n">
        <v>6679461.54</v>
      </c>
      <c r="G49" s="2" t="n">
        <v>1123538.46</v>
      </c>
      <c r="H49" t="n">
        <v>0.52</v>
      </c>
      <c r="I49" s="2" t="n">
        <v>8493142.859999999</v>
      </c>
      <c r="J49" t="inlineStr"/>
    </row>
    <row r="50">
      <c r="A50" t="inlineStr">
        <is>
          <t>2026-06-18</t>
        </is>
      </c>
      <c r="B50" t="inlineStr">
        <is>
          <t>목</t>
        </is>
      </c>
      <c r="C50" s="2" t="n">
        <v>9371</v>
      </c>
      <c r="D50" t="n">
        <v>139</v>
      </c>
      <c r="E50" s="2" t="n">
        <v>7137000</v>
      </c>
      <c r="F50" s="2" t="n">
        <v>6672416.67</v>
      </c>
      <c r="G50" s="2" t="n">
        <v>464583.33</v>
      </c>
      <c r="H50" t="n">
        <v>0.22</v>
      </c>
      <c r="I50" s="2" t="n">
        <v>7973714.29</v>
      </c>
      <c r="J50" t="inlineStr"/>
    </row>
    <row r="51">
      <c r="A51" t="inlineStr">
        <is>
          <t>2026-06-19</t>
        </is>
      </c>
      <c r="B51" t="inlineStr">
        <is>
          <t>금</t>
        </is>
      </c>
      <c r="C51" s="2" t="n">
        <v>7508</v>
      </c>
      <c r="D51" t="n">
        <v>138</v>
      </c>
      <c r="E51" s="2" t="n">
        <v>9815000</v>
      </c>
      <c r="F51" s="2" t="n">
        <v>7915461.54</v>
      </c>
      <c r="G51" s="2" t="n">
        <v>1899538.46</v>
      </c>
      <c r="H51" t="n">
        <v>0.88</v>
      </c>
      <c r="I51" s="2" t="n">
        <v>8695285.710000001</v>
      </c>
      <c r="J51" t="inlineStr"/>
    </row>
    <row r="52">
      <c r="A52" t="inlineStr">
        <is>
          <t>2026-06-20</t>
        </is>
      </c>
      <c r="B52" t="inlineStr">
        <is>
          <t>토</t>
        </is>
      </c>
      <c r="C52" s="2" t="n">
        <v>9690</v>
      </c>
      <c r="D52" t="n">
        <v>168</v>
      </c>
      <c r="E52" s="2" t="n">
        <v>13259000</v>
      </c>
      <c r="F52" s="2" t="n">
        <v>6788076.92</v>
      </c>
      <c r="G52" s="2" t="n">
        <v>6470923.08</v>
      </c>
      <c r="H52" t="n">
        <v>3</v>
      </c>
      <c r="I52" s="2" t="n">
        <v>8284000</v>
      </c>
      <c r="J52" t="inlineStr">
        <is>
          <t>긴급(3σ)</t>
        </is>
      </c>
    </row>
    <row r="53">
      <c r="A53" t="inlineStr">
        <is>
          <t>2026-06-21</t>
        </is>
      </c>
      <c r="B53" t="inlineStr">
        <is>
          <t>일</t>
        </is>
      </c>
      <c r="C53" s="2" t="n">
        <v>6134</v>
      </c>
      <c r="D53" t="n">
        <v>79</v>
      </c>
      <c r="E53" s="2" t="n">
        <v>4328000</v>
      </c>
      <c r="F53" s="2" t="n">
        <v>8049461.54</v>
      </c>
      <c r="G53" s="2" t="n">
        <v>-3721461.54</v>
      </c>
      <c r="H53" t="n">
        <v>-1.73</v>
      </c>
      <c r="I53" s="2" t="n">
        <v>7620714.29</v>
      </c>
      <c r="J53" t="inlineStr"/>
    </row>
    <row r="54">
      <c r="A54" t="inlineStr">
        <is>
          <t>2026-06-22</t>
        </is>
      </c>
      <c r="B54" t="inlineStr">
        <is>
          <t>월</t>
        </is>
      </c>
      <c r="C54" s="2" t="n">
        <v>8473</v>
      </c>
      <c r="D54" t="n">
        <v>150</v>
      </c>
      <c r="E54" s="2" t="n">
        <v>10398000</v>
      </c>
      <c r="F54" s="2" t="n">
        <v>8164307.69</v>
      </c>
      <c r="G54" s="2" t="n">
        <v>2233692.31</v>
      </c>
      <c r="H54" t="n">
        <v>1.04</v>
      </c>
      <c r="I54" s="2" t="n">
        <v>7325285.71</v>
      </c>
      <c r="J54" t="inlineStr"/>
    </row>
    <row r="55">
      <c r="A55" t="inlineStr">
        <is>
          <t>2026-06-23</t>
        </is>
      </c>
      <c r="B55" t="inlineStr">
        <is>
          <t>화</t>
        </is>
      </c>
      <c r="C55" s="2" t="n">
        <v>6273</v>
      </c>
      <c r="D55" t="n">
        <v>84</v>
      </c>
      <c r="E55" s="2" t="n">
        <v>5248000</v>
      </c>
      <c r="F55" s="2" t="n">
        <v>7888461.54</v>
      </c>
      <c r="G55" s="2" t="n">
        <v>-2640461.54</v>
      </c>
      <c r="H55" t="n">
        <v>-1.23</v>
      </c>
      <c r="I55" s="2" t="n">
        <v>7143714.29</v>
      </c>
      <c r="J55" t="inlineStr"/>
    </row>
    <row r="56">
      <c r="A56" t="inlineStr">
        <is>
          <t>2026-06-24</t>
        </is>
      </c>
      <c r="B56" t="inlineStr">
        <is>
          <t>수</t>
        </is>
      </c>
      <c r="C56" s="2" t="n">
        <v>3968</v>
      </c>
      <c r="D56" t="n">
        <v>49</v>
      </c>
      <c r="E56" s="2" t="n">
        <v>3160000</v>
      </c>
      <c r="F56" s="2" t="n">
        <v>6679461.54</v>
      </c>
      <c r="G56" s="2" t="n">
        <v>-3519461.54</v>
      </c>
      <c r="H56" t="n">
        <v>-1.63</v>
      </c>
      <c r="I56" s="2" t="n">
        <v>6360571.43</v>
      </c>
      <c r="J56" t="inlineStr"/>
    </row>
    <row r="57">
      <c r="A57" t="inlineStr">
        <is>
          <t>2026-06-25</t>
        </is>
      </c>
      <c r="B57" t="inlineStr">
        <is>
          <t>목</t>
        </is>
      </c>
      <c r="C57" s="2" t="n">
        <v>9279</v>
      </c>
      <c r="D57" t="n">
        <v>100</v>
      </c>
      <c r="E57" s="2" t="n">
        <v>5069000</v>
      </c>
      <c r="F57" s="2" t="n">
        <v>6672416.67</v>
      </c>
      <c r="G57" s="2" t="n">
        <v>-1603416.67</v>
      </c>
      <c r="H57" t="n">
        <v>-0.74</v>
      </c>
      <c r="I57" s="2" t="n">
        <v>7466571.43</v>
      </c>
      <c r="J57" t="inlineStr"/>
    </row>
    <row r="58">
      <c r="A58" t="inlineStr">
        <is>
          <t>2026-06-26</t>
        </is>
      </c>
      <c r="B58" t="inlineStr">
        <is>
          <t>금</t>
        </is>
      </c>
      <c r="C58" s="2" t="n">
        <v>8623</v>
      </c>
      <c r="D58" t="n">
        <v>140</v>
      </c>
      <c r="E58" s="2" t="n">
        <v>8544000</v>
      </c>
      <c r="F58" s="2" t="n">
        <v>7915461.54</v>
      </c>
      <c r="G58" s="2" t="n">
        <v>628538.46</v>
      </c>
      <c r="H58" t="n">
        <v>0.29</v>
      </c>
      <c r="I58" s="2" t="n">
        <v>7323000</v>
      </c>
      <c r="J58" t="inlineStr"/>
    </row>
    <row r="59">
      <c r="A59" t="inlineStr">
        <is>
          <t>2026-06-27</t>
        </is>
      </c>
      <c r="B59" t="inlineStr">
        <is>
          <t>토</t>
        </is>
      </c>
      <c r="C59" s="2" t="n">
        <v>7205</v>
      </c>
      <c r="D59" t="n">
        <v>118</v>
      </c>
      <c r="E59" s="2" t="n">
        <v>7777000</v>
      </c>
      <c r="F59" s="2" t="n">
        <v>6788076.92</v>
      </c>
      <c r="G59" s="2" t="n">
        <v>988923.08</v>
      </c>
      <c r="H59" t="n">
        <v>0.46</v>
      </c>
      <c r="I59" s="2" t="n">
        <v>7988428.57</v>
      </c>
      <c r="J59" t="inlineStr"/>
    </row>
    <row r="60">
      <c r="A60" t="inlineStr">
        <is>
          <t>2026-06-28</t>
        </is>
      </c>
      <c r="B60" t="inlineStr">
        <is>
          <t>일</t>
        </is>
      </c>
      <c r="C60" s="2" t="n">
        <v>8203</v>
      </c>
      <c r="D60" t="n">
        <v>158</v>
      </c>
      <c r="E60" s="2" t="n">
        <v>12070000</v>
      </c>
      <c r="F60" s="2" t="n">
        <v>8049461.54</v>
      </c>
      <c r="G60" s="2" t="n">
        <v>4020538.46</v>
      </c>
      <c r="H60" t="n">
        <v>1.87</v>
      </c>
      <c r="I60" s="2" t="n">
        <v>8196285.71</v>
      </c>
      <c r="J60" t="inlineStr"/>
    </row>
    <row r="61">
      <c r="A61" t="inlineStr">
        <is>
          <t>2026-06-29</t>
        </is>
      </c>
      <c r="B61" t="inlineStr">
        <is>
          <t>월</t>
        </is>
      </c>
      <c r="C61" s="2" t="n">
        <v>8561</v>
      </c>
      <c r="D61" t="n">
        <v>151</v>
      </c>
      <c r="E61" s="2" t="n">
        <v>9393000</v>
      </c>
      <c r="F61" s="2" t="n">
        <v>8164307.69</v>
      </c>
      <c r="G61" s="2" t="n">
        <v>1228692.31</v>
      </c>
      <c r="H61" t="n">
        <v>0.57</v>
      </c>
      <c r="I61" s="2" t="n">
        <v>8577000</v>
      </c>
      <c r="J61" t="inlineStr"/>
    </row>
    <row r="62">
      <c r="A62" t="inlineStr">
        <is>
          <t>2026-06-30</t>
        </is>
      </c>
      <c r="B62" t="inlineStr">
        <is>
          <t>화</t>
        </is>
      </c>
      <c r="C62" s="2" t="n">
        <v>7611</v>
      </c>
      <c r="D62" t="n">
        <v>149</v>
      </c>
      <c r="E62" s="2" t="n">
        <v>9906000</v>
      </c>
      <c r="F62" s="2" t="n">
        <v>7888461.54</v>
      </c>
      <c r="G62" s="2" t="n">
        <v>2017538.46</v>
      </c>
      <c r="H62" t="n">
        <v>0.9399999999999999</v>
      </c>
      <c r="I62" s="2" t="n">
        <v>8084142.86</v>
      </c>
      <c r="J62" t="inlineStr"/>
    </row>
    <row r="63">
      <c r="A63" t="inlineStr">
        <is>
          <t>2026-07-01</t>
        </is>
      </c>
      <c r="B63" t="inlineStr">
        <is>
          <t>수</t>
        </is>
      </c>
      <c r="C63" s="2" t="n">
        <v>6432</v>
      </c>
      <c r="D63" t="n">
        <v>57</v>
      </c>
      <c r="E63" s="2" t="n">
        <v>4615000</v>
      </c>
      <c r="F63" s="2" t="n">
        <v>6679461.54</v>
      </c>
      <c r="G63" s="2" t="n">
        <v>-2064461.54</v>
      </c>
      <c r="H63" t="n">
        <v>-0.96</v>
      </c>
      <c r="I63" s="2" t="n">
        <v>7789000</v>
      </c>
      <c r="J63" t="inlineStr"/>
    </row>
    <row r="64">
      <c r="A64" t="inlineStr">
        <is>
          <t>2026-07-02</t>
        </is>
      </c>
      <c r="B64" t="inlineStr">
        <is>
          <t>목</t>
        </is>
      </c>
      <c r="C64" s="2" t="n">
        <v>8566</v>
      </c>
      <c r="D64" t="n">
        <v>110</v>
      </c>
      <c r="E64" s="2" t="n">
        <v>7734000</v>
      </c>
      <c r="F64" s="2" t="n">
        <v>6672416.67</v>
      </c>
      <c r="G64" s="2" t="n">
        <v>1061583.33</v>
      </c>
      <c r="H64" t="n">
        <v>0.49</v>
      </c>
      <c r="I64" s="2" t="n">
        <v>6943142.86</v>
      </c>
      <c r="J64" t="inlineStr"/>
    </row>
    <row r="65">
      <c r="A65" t="inlineStr">
        <is>
          <t>2026-07-03</t>
        </is>
      </c>
      <c r="B65" t="inlineStr">
        <is>
          <t>금</t>
        </is>
      </c>
      <c r="C65" s="2" t="n">
        <v>5839</v>
      </c>
      <c r="D65" t="n">
        <v>102</v>
      </c>
      <c r="E65" s="2" t="n">
        <v>5094000</v>
      </c>
      <c r="F65" s="2" t="n">
        <v>7915461.54</v>
      </c>
      <c r="G65" s="2" t="n">
        <v>-2821461.54</v>
      </c>
      <c r="H65" t="n">
        <v>-1.31</v>
      </c>
      <c r="I65" s="2" t="n">
        <v>6961857.14</v>
      </c>
      <c r="J65" t="inlineStr"/>
    </row>
    <row r="66">
      <c r="A66" t="inlineStr">
        <is>
          <t>2026-07-04</t>
        </is>
      </c>
      <c r="B66" t="inlineStr">
        <is>
          <t>토</t>
        </is>
      </c>
      <c r="C66" s="2" t="n">
        <v>8440</v>
      </c>
      <c r="D66" t="n">
        <v>108</v>
      </c>
      <c r="E66" s="2" t="n">
        <v>5711000</v>
      </c>
      <c r="F66" s="2" t="n">
        <v>6788076.92</v>
      </c>
      <c r="G66" s="2" t="n">
        <v>-1077076.92</v>
      </c>
      <c r="H66" t="n">
        <v>-0.5</v>
      </c>
      <c r="I66" s="2" t="n">
        <v>6732285.71</v>
      </c>
      <c r="J66" t="inlineStr"/>
    </row>
    <row r="67">
      <c r="A67" t="inlineStr">
        <is>
          <t>2026-07-05</t>
        </is>
      </c>
      <c r="B67" t="inlineStr">
        <is>
          <t>일</t>
        </is>
      </c>
      <c r="C67" s="2" t="n">
        <v>6443</v>
      </c>
      <c r="D67" t="n">
        <v>104</v>
      </c>
      <c r="E67" s="2" t="n">
        <v>6149000</v>
      </c>
      <c r="F67" s="2" t="n">
        <v>8049461.54</v>
      </c>
      <c r="G67" s="2" t="n">
        <v>-1900461.54</v>
      </c>
      <c r="H67" t="n">
        <v>-0.88</v>
      </c>
      <c r="I67" s="2" t="n">
        <v>7048000</v>
      </c>
      <c r="J67" t="inlineStr"/>
    </row>
    <row r="68">
      <c r="A68" t="inlineStr">
        <is>
          <t>2026-07-06</t>
        </is>
      </c>
      <c r="B68" t="inlineStr">
        <is>
          <t>월</t>
        </is>
      </c>
      <c r="C68" s="2" t="n">
        <v>6620</v>
      </c>
      <c r="D68" t="n">
        <v>113</v>
      </c>
      <c r="E68" s="2" t="n">
        <v>9524000</v>
      </c>
      <c r="F68" s="2" t="n">
        <v>8164307.69</v>
      </c>
      <c r="G68" s="2" t="n">
        <v>1359692.31</v>
      </c>
      <c r="H68" t="n">
        <v>0.63</v>
      </c>
      <c r="I68" s="2" t="n">
        <v>7106000</v>
      </c>
      <c r="J68" t="inlineStr"/>
    </row>
    <row r="69">
      <c r="A69" t="inlineStr">
        <is>
          <t>2026-07-07</t>
        </is>
      </c>
      <c r="B69" t="inlineStr">
        <is>
          <t>화</t>
        </is>
      </c>
      <c r="C69" s="2" t="n">
        <v>7757</v>
      </c>
      <c r="D69" t="n">
        <v>145</v>
      </c>
      <c r="E69" s="2" t="n">
        <v>8299000</v>
      </c>
      <c r="F69" s="2" t="n">
        <v>7888461.54</v>
      </c>
      <c r="G69" s="2" t="n">
        <v>410538.46</v>
      </c>
      <c r="H69" t="n">
        <v>0.19</v>
      </c>
      <c r="I69" s="2" t="n">
        <v>7242285.71</v>
      </c>
      <c r="J69" t="inlineStr"/>
    </row>
    <row r="70">
      <c r="A70" t="inlineStr">
        <is>
          <t>2026-07-08</t>
        </is>
      </c>
      <c r="B70" t="inlineStr">
        <is>
          <t>수</t>
        </is>
      </c>
      <c r="C70" s="2" t="n">
        <v>7922</v>
      </c>
      <c r="D70" t="n">
        <v>98</v>
      </c>
      <c r="E70" s="2" t="n">
        <v>6825000</v>
      </c>
      <c r="F70" s="2" t="n">
        <v>6679461.54</v>
      </c>
      <c r="G70" s="2" t="n">
        <v>145538.46</v>
      </c>
      <c r="H70" t="n">
        <v>0.07000000000000001</v>
      </c>
      <c r="I70" s="2" t="n">
        <v>6912285.71</v>
      </c>
      <c r="J70" t="inlineStr"/>
    </row>
    <row r="71">
      <c r="A71" t="inlineStr">
        <is>
          <t>2026-07-09</t>
        </is>
      </c>
      <c r="B71" t="inlineStr">
        <is>
          <t>목</t>
        </is>
      </c>
      <c r="C71" s="2" t="n">
        <v>9821</v>
      </c>
      <c r="D71" t="n">
        <v>132</v>
      </c>
      <c r="E71" s="2" t="n">
        <v>8140000</v>
      </c>
      <c r="F71" s="2" t="n">
        <v>6672416.67</v>
      </c>
      <c r="G71" s="2" t="n">
        <v>1467583.33</v>
      </c>
      <c r="H71" t="n">
        <v>0.68</v>
      </c>
      <c r="I71" s="2" t="n">
        <v>7202428.57</v>
      </c>
      <c r="J71" t="inlineStr"/>
    </row>
    <row r="72">
      <c r="A72" t="inlineStr">
        <is>
          <t>2026-07-10</t>
        </is>
      </c>
      <c r="B72" t="inlineStr">
        <is>
          <t>금</t>
        </is>
      </c>
      <c r="C72" s="2" t="n">
        <v>7845</v>
      </c>
      <c r="D72" t="n">
        <v>86</v>
      </c>
      <c r="E72" s="2" t="n">
        <v>6048000</v>
      </c>
      <c r="F72" s="2" t="n">
        <v>7915461.54</v>
      </c>
      <c r="G72" s="2" t="n">
        <v>-1867461.54</v>
      </c>
      <c r="H72" t="n">
        <v>-0.87</v>
      </c>
      <c r="I72" s="2" t="n">
        <v>6809142.86</v>
      </c>
      <c r="J72" t="inlineStr"/>
    </row>
    <row r="73">
      <c r="A73" t="inlineStr">
        <is>
          <t>2026-07-11</t>
        </is>
      </c>
      <c r="B73" t="inlineStr">
        <is>
          <t>토</t>
        </is>
      </c>
      <c r="C73" s="2" t="n">
        <v>3274</v>
      </c>
      <c r="D73" t="n">
        <v>52</v>
      </c>
      <c r="E73" s="2" t="n">
        <v>3401000</v>
      </c>
      <c r="F73" s="2" t="n">
        <v>6788076.92</v>
      </c>
      <c r="G73" s="2" t="n">
        <v>-3387076.92</v>
      </c>
      <c r="H73" t="n">
        <v>-1.57</v>
      </c>
      <c r="I73" s="2" t="n">
        <v>6748714.29</v>
      </c>
      <c r="J73" t="inlineStr"/>
    </row>
    <row r="74">
      <c r="A74" t="inlineStr">
        <is>
          <t>2026-07-12</t>
        </is>
      </c>
      <c r="B74" t="inlineStr">
        <is>
          <t>일</t>
        </is>
      </c>
      <c r="C74" s="2" t="n">
        <v>5540</v>
      </c>
      <c r="D74" t="n">
        <v>107</v>
      </c>
      <c r="E74" s="2" t="n">
        <v>8180000</v>
      </c>
      <c r="F74" s="2" t="n">
        <v>8049461.54</v>
      </c>
      <c r="G74" s="2" t="n">
        <v>130538.46</v>
      </c>
      <c r="H74" t="n">
        <v>0.06</v>
      </c>
      <c r="I74" s="2" t="n">
        <v>6824428.57</v>
      </c>
      <c r="J74" t="inlineStr"/>
    </row>
    <row r="75">
      <c r="A75" t="inlineStr">
        <is>
          <t>2026-07-13</t>
        </is>
      </c>
      <c r="B75" t="inlineStr">
        <is>
          <t>월</t>
        </is>
      </c>
      <c r="C75" s="2" t="n">
        <v>7106</v>
      </c>
      <c r="D75" t="n">
        <v>104</v>
      </c>
      <c r="E75" s="2" t="n">
        <v>6771000</v>
      </c>
      <c r="F75" s="2" t="n">
        <v>8164307.69</v>
      </c>
      <c r="G75" s="2" t="n">
        <v>-1393307.69</v>
      </c>
      <c r="H75" t="n">
        <v>-0.65</v>
      </c>
      <c r="I75" s="2" t="n">
        <v>6563714.29</v>
      </c>
      <c r="J75" t="inlineStr"/>
    </row>
    <row r="76">
      <c r="A76" t="inlineStr">
        <is>
          <t>2026-07-14</t>
        </is>
      </c>
      <c r="B76" t="inlineStr">
        <is>
          <t>화</t>
        </is>
      </c>
      <c r="C76" s="2" t="n">
        <v>8332</v>
      </c>
      <c r="D76" t="n">
        <v>105</v>
      </c>
      <c r="E76" s="2" t="n">
        <v>7876000</v>
      </c>
      <c r="F76" s="2" t="n">
        <v>7888461.54</v>
      </c>
      <c r="G76" s="2" t="n">
        <v>-12461.54</v>
      </c>
      <c r="H76" t="n">
        <v>-0.01</v>
      </c>
      <c r="I76" s="2" t="n">
        <v>6260714.29</v>
      </c>
      <c r="J76" t="inlineStr"/>
    </row>
    <row r="77">
      <c r="A77" t="inlineStr">
        <is>
          <t>2026-07-15</t>
        </is>
      </c>
      <c r="B77" t="inlineStr">
        <is>
          <t>수</t>
        </is>
      </c>
      <c r="C77" s="2" t="n">
        <v>6080</v>
      </c>
      <c r="D77" t="n">
        <v>113</v>
      </c>
      <c r="E77" s="2" t="n">
        <v>7355000</v>
      </c>
      <c r="F77" s="2" t="n">
        <v>6679461.54</v>
      </c>
      <c r="G77" s="2" t="n">
        <v>675538.46</v>
      </c>
      <c r="H77" t="n">
        <v>0.31</v>
      </c>
      <c r="I77" s="2" t="n">
        <v>6461000</v>
      </c>
      <c r="J77" t="inlineStr"/>
    </row>
    <row r="78">
      <c r="A78" t="inlineStr">
        <is>
          <t>2026-07-16</t>
        </is>
      </c>
      <c r="B78" t="inlineStr">
        <is>
          <t>목</t>
        </is>
      </c>
      <c r="C78" s="2" t="n">
        <v>5025</v>
      </c>
      <c r="D78" t="n">
        <v>91</v>
      </c>
      <c r="E78" s="2" t="n">
        <v>6315000</v>
      </c>
      <c r="F78" s="2" t="n">
        <v>6672416.67</v>
      </c>
      <c r="G78" s="2" t="n">
        <v>-357416.67</v>
      </c>
      <c r="H78" t="n">
        <v>-0.17</v>
      </c>
      <c r="I78" s="2" t="n">
        <v>6640428.57</v>
      </c>
      <c r="J78" t="inlineStr"/>
    </row>
    <row r="79">
      <c r="A79" t="inlineStr">
        <is>
          <t>2026-07-17</t>
        </is>
      </c>
      <c r="B79" t="inlineStr">
        <is>
          <t>금</t>
        </is>
      </c>
      <c r="C79" s="2" t="n">
        <v>4713</v>
      </c>
      <c r="D79" t="n">
        <v>60</v>
      </c>
      <c r="E79" s="2" t="n">
        <v>3927000</v>
      </c>
      <c r="F79" s="2" t="n">
        <v>7915461.54</v>
      </c>
      <c r="G79" s="2" t="n">
        <v>-3988461.54</v>
      </c>
      <c r="H79" t="n">
        <v>-1.85</v>
      </c>
      <c r="I79" s="2" t="n">
        <v>6732142.86</v>
      </c>
      <c r="J79" t="inlineStr"/>
    </row>
    <row r="80">
      <c r="A80" t="inlineStr">
        <is>
          <t>2026-07-18</t>
        </is>
      </c>
      <c r="B80" t="inlineStr">
        <is>
          <t>토</t>
        </is>
      </c>
      <c r="C80" s="2" t="n">
        <v>6502</v>
      </c>
      <c r="D80" t="n">
        <v>66</v>
      </c>
      <c r="E80" s="2" t="n">
        <v>4803000</v>
      </c>
      <c r="F80" s="2" t="n">
        <v>6788076.92</v>
      </c>
      <c r="G80" s="2" t="n">
        <v>-1985076.92</v>
      </c>
      <c r="H80" t="n">
        <v>-0.92</v>
      </c>
      <c r="I80" s="2" t="n">
        <v>6369714.29</v>
      </c>
      <c r="J80" t="inlineStr"/>
    </row>
    <row r="81">
      <c r="A81" t="inlineStr">
        <is>
          <t>2026-07-19</t>
        </is>
      </c>
      <c r="B81" t="inlineStr">
        <is>
          <t>일</t>
        </is>
      </c>
      <c r="C81" s="2" t="n">
        <v>6670</v>
      </c>
      <c r="D81" t="n">
        <v>156</v>
      </c>
      <c r="E81" s="2" t="n">
        <v>9436000</v>
      </c>
      <c r="F81" s="2" t="n">
        <v>8049461.54</v>
      </c>
      <c r="G81" s="2" t="n">
        <v>1386538.46</v>
      </c>
      <c r="H81" t="n">
        <v>0.64</v>
      </c>
      <c r="I81" s="2" t="n">
        <v>6242142.86</v>
      </c>
      <c r="J81" t="inlineStr"/>
    </row>
    <row r="82">
      <c r="A82" t="inlineStr">
        <is>
          <t>2026-07-20</t>
        </is>
      </c>
      <c r="B82" t="inlineStr">
        <is>
          <t>월</t>
        </is>
      </c>
      <c r="C82" s="2" t="n">
        <v>8045</v>
      </c>
      <c r="D82" t="n">
        <v>116</v>
      </c>
      <c r="E82" s="2" t="n">
        <v>7413000</v>
      </c>
      <c r="F82" s="2" t="n">
        <v>8164307.69</v>
      </c>
      <c r="G82" s="2" t="n">
        <v>-751307.6899999999</v>
      </c>
      <c r="H82" t="n">
        <v>-0.35</v>
      </c>
      <c r="I82" s="2" t="n">
        <v>6045428.57</v>
      </c>
      <c r="J82" t="inlineStr"/>
    </row>
    <row r="83">
      <c r="A83" t="inlineStr">
        <is>
          <t>2026-07-21</t>
        </is>
      </c>
      <c r="B83" t="inlineStr">
        <is>
          <t>화</t>
        </is>
      </c>
      <c r="C83" s="2" t="n">
        <v>5244</v>
      </c>
      <c r="D83" t="n">
        <v>84</v>
      </c>
      <c r="E83" s="2" t="n">
        <v>5339000</v>
      </c>
      <c r="F83" s="2" t="n">
        <v>7888461.54</v>
      </c>
      <c r="G83" s="2" t="n">
        <v>-2549461.54</v>
      </c>
      <c r="H83" t="n">
        <v>-1.18</v>
      </c>
      <c r="I83" s="2" t="n">
        <v>6705000</v>
      </c>
      <c r="J83" t="inlineStr"/>
    </row>
    <row r="84">
      <c r="A84" t="inlineStr">
        <is>
          <t>2026-07-22</t>
        </is>
      </c>
      <c r="B84" t="inlineStr">
        <is>
          <t>수</t>
        </is>
      </c>
      <c r="C84" s="2" t="n">
        <v>6465</v>
      </c>
      <c r="D84" t="n">
        <v>119</v>
      </c>
      <c r="E84" s="2" t="n">
        <v>6462000</v>
      </c>
      <c r="F84" s="2" t="n">
        <v>6679461.54</v>
      </c>
      <c r="G84" s="2" t="n">
        <v>-217461.54</v>
      </c>
      <c r="H84" t="n">
        <v>-0.1</v>
      </c>
      <c r="I84" s="2" t="n">
        <v>6771571.43</v>
      </c>
      <c r="J84" t="inlineStr"/>
    </row>
    <row r="85">
      <c r="A85" t="inlineStr">
        <is>
          <t>2026-07-23</t>
        </is>
      </c>
      <c r="B85" t="inlineStr">
        <is>
          <t>목</t>
        </is>
      </c>
      <c r="C85" s="2" t="n">
        <v>6395</v>
      </c>
      <c r="D85" t="n">
        <v>97</v>
      </c>
      <c r="E85" s="2" t="n">
        <v>4938000</v>
      </c>
      <c r="F85" s="2" t="n">
        <v>6672416.67</v>
      </c>
      <c r="G85" s="2" t="n">
        <v>-1734416.67</v>
      </c>
      <c r="H85" t="n">
        <v>-0.8100000000000001</v>
      </c>
      <c r="I85" s="2" t="n">
        <v>6210000</v>
      </c>
      <c r="J85" t="inlineStr"/>
    </row>
    <row r="86">
      <c r="A86" t="inlineStr">
        <is>
          <t>2026-07-24</t>
        </is>
      </c>
      <c r="B86" t="inlineStr">
        <is>
          <t>금</t>
        </is>
      </c>
      <c r="C86" s="2" t="n">
        <v>7596</v>
      </c>
      <c r="D86" t="n">
        <v>158</v>
      </c>
      <c r="E86" s="2" t="n">
        <v>8544000</v>
      </c>
      <c r="F86" s="2" t="n">
        <v>7915461.54</v>
      </c>
      <c r="G86" s="2" t="n">
        <v>628538.46</v>
      </c>
      <c r="H86" t="n">
        <v>0.29</v>
      </c>
      <c r="I86" s="2" t="n">
        <v>6638285.71</v>
      </c>
      <c r="J86" t="inlineStr"/>
    </row>
    <row r="87">
      <c r="A87" t="inlineStr">
        <is>
          <t>2026-07-25</t>
        </is>
      </c>
      <c r="B87" t="inlineStr">
        <is>
          <t>토</t>
        </is>
      </c>
      <c r="C87" s="2" t="n">
        <v>6335</v>
      </c>
      <c r="D87" t="n">
        <v>82</v>
      </c>
      <c r="E87" s="2" t="n">
        <v>5269000</v>
      </c>
      <c r="F87" s="2" t="n">
        <v>6788076.92</v>
      </c>
      <c r="G87" s="2" t="n">
        <v>-1519076.92</v>
      </c>
      <c r="H87" t="n">
        <v>-0.71</v>
      </c>
      <c r="I87" s="2" t="n">
        <v>7096428.57</v>
      </c>
      <c r="J87" t="inlineStr"/>
    </row>
    <row r="88">
      <c r="A88" t="inlineStr">
        <is>
          <t>2026-07-26</t>
        </is>
      </c>
      <c r="B88" t="inlineStr">
        <is>
          <t>일</t>
        </is>
      </c>
      <c r="C88" s="2" t="n">
        <v>5829</v>
      </c>
      <c r="D88" t="n">
        <v>101</v>
      </c>
      <c r="E88" s="2" t="n">
        <v>5505000</v>
      </c>
      <c r="F88" s="2" t="n">
        <v>8049461.54</v>
      </c>
      <c r="G88" s="2" t="n">
        <v>-2544461.54</v>
      </c>
      <c r="H88" t="n">
        <v>-1.18</v>
      </c>
      <c r="I88" s="2" t="n">
        <v>7792428.57</v>
      </c>
      <c r="J88" t="inlineStr"/>
    </row>
    <row r="89">
      <c r="A89" t="inlineStr">
        <is>
          <t>2026-07-27</t>
        </is>
      </c>
      <c r="B89" t="inlineStr">
        <is>
          <t>월</t>
        </is>
      </c>
      <c r="C89" s="2" t="n">
        <v>8141</v>
      </c>
      <c r="D89" t="n">
        <v>135</v>
      </c>
      <c r="E89" s="2" t="n">
        <v>10411000</v>
      </c>
      <c r="F89" s="2" t="n">
        <v>8164307.69</v>
      </c>
      <c r="G89" s="2" t="n">
        <v>2246692.31</v>
      </c>
      <c r="H89" t="n">
        <v>1.04</v>
      </c>
      <c r="I89" s="2" t="n">
        <v>8268166.67</v>
      </c>
      <c r="J89" t="inlineStr"/>
    </row>
    <row r="90">
      <c r="A90" t="inlineStr">
        <is>
          <t>2026-07-28</t>
        </is>
      </c>
      <c r="B90" t="inlineStr">
        <is>
          <t>화</t>
        </is>
      </c>
      <c r="C90" s="2" t="n">
        <v>9292</v>
      </c>
      <c r="D90" t="n">
        <v>143</v>
      </c>
      <c r="E90" s="2" t="n">
        <v>8546000</v>
      </c>
      <c r="F90" s="2" t="n">
        <v>7888461.54</v>
      </c>
      <c r="G90" s="2" t="n">
        <v>657538.46</v>
      </c>
      <c r="H90" t="n">
        <v>0.31</v>
      </c>
      <c r="I90" s="2" t="n">
        <v>8213000</v>
      </c>
      <c r="J90" t="inlineStr"/>
    </row>
    <row r="91">
      <c r="A91" t="inlineStr">
        <is>
          <t>2026-07-29</t>
        </is>
      </c>
      <c r="B91" t="inlineStr">
        <is>
          <t>수</t>
        </is>
      </c>
      <c r="C91" s="2" t="n">
        <v>8524</v>
      </c>
      <c r="D91" t="n">
        <v>173</v>
      </c>
      <c r="E91" s="2" t="n">
        <v>11334000</v>
      </c>
      <c r="F91" s="2" t="n">
        <v>6679461.54</v>
      </c>
      <c r="G91" s="2" t="n">
        <v>4654538.46</v>
      </c>
      <c r="H91" t="n">
        <v>2.16</v>
      </c>
      <c r="I91" s="2" t="n">
        <v>8949000</v>
      </c>
      <c r="J91" t="inlineStr">
        <is>
          <t>주의(2σ)</t>
        </is>
      </c>
    </row>
    <row r="93">
      <c r="A93" s="3" t="inlineStr">
        <is>
          <t>메모</t>
        </is>
      </c>
    </row>
    <row r="94">
      <c r="A94" t="inlineStr">
        <is>
          <t>잔차 표준편차 2,153,811원. 요일 평균 차이는 우연 범위 안(비율 1.17, 2 미만)이라 반복 요일 패턴은 없습니다.</t>
        </is>
      </c>
    </row>
  </sheetData>
  <autoFilter ref="A1:J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2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매출</t>
        </is>
      </c>
      <c r="D1" s="1" t="inlineStr">
        <is>
          <t>같은요일평균</t>
        </is>
      </c>
      <c r="E1" s="1" t="inlineStr">
        <is>
          <t>잔차(σ)</t>
        </is>
      </c>
      <c r="F1" s="1" t="inlineStr">
        <is>
          <t>판정</t>
        </is>
      </c>
      <c r="G1" s="1" t="inlineStr">
        <is>
          <t>무엇이 튀었나</t>
        </is>
      </c>
      <c r="H1" s="1" t="inlineStr">
        <is>
          <t>원인 가설</t>
        </is>
      </c>
      <c r="I1" s="1" t="inlineStr">
        <is>
          <t>확인 방법</t>
        </is>
      </c>
    </row>
    <row r="2">
      <c r="A2" t="inlineStr">
        <is>
          <t>2026-06-20</t>
        </is>
      </c>
      <c r="B2" t="inlineStr">
        <is>
          <t>토</t>
        </is>
      </c>
      <c r="C2" s="2" t="n">
        <v>13259000</v>
      </c>
      <c r="D2" s="2" t="n">
        <v>6788076.92</v>
      </c>
      <c r="E2" t="n">
        <v>3</v>
      </c>
      <c r="F2" t="inlineStr">
        <is>
          <t>긴급(3σ)</t>
        </is>
      </c>
      <c r="G2" t="inlineStr">
        <is>
          <t>인스타 4,459,000원·유료검색 3,640,000원이 함께 튐. 전날(6/19) 인스타도 4,732,000원(3.3σ)으로 이틀 연속</t>
        </is>
      </c>
      <c r="H2" t="inlineStr">
        <is>
          <t>인스타 협찬·공동구매 게시 또는 주말 기획전</t>
        </is>
      </c>
      <c r="I2" t="inlineStr">
        <is>
          <t>6/19~6/20 인스타 게시물·협찬 일정, 유료검색 캠페인 변경 이력 대조</t>
        </is>
      </c>
    </row>
    <row r="3">
      <c r="A3" t="inlineStr">
        <is>
          <t>2026-05-12</t>
        </is>
      </c>
      <c r="B3" t="inlineStr">
        <is>
          <t>화</t>
        </is>
      </c>
      <c r="C3" s="2" t="n">
        <v>13412000</v>
      </c>
      <c r="D3" s="2" t="n">
        <v>7888461.54</v>
      </c>
      <c r="E3" t="n">
        <v>2.56</v>
      </c>
      <c r="F3" t="inlineStr">
        <is>
          <t>주의(2σ)</t>
        </is>
      </c>
      <c r="G3" t="inlineStr">
        <is>
          <t>뉴스레터 3,808,000원(2.7σ)·자연검색·직접유입 각 3,185,000원이 동반 상승</t>
        </is>
      </c>
      <c r="H3" t="inlineStr">
        <is>
          <t>뉴스레터 발송일 효과 (발송 → 검색·직접 재방문)</t>
        </is>
      </c>
      <c r="I3" t="inlineStr">
        <is>
          <t>5/12 뉴스레터 발송 로그·오픈율 확인</t>
        </is>
      </c>
    </row>
    <row r="4">
      <c r="A4" t="inlineStr">
        <is>
          <t>2026-07-29</t>
        </is>
      </c>
      <c r="B4" t="inlineStr">
        <is>
          <t>수</t>
        </is>
      </c>
      <c r="C4" s="2" t="n">
        <v>11334000</v>
      </c>
      <c r="D4" s="2" t="n">
        <v>6679461.54</v>
      </c>
      <c r="E4" t="n">
        <v>2.16</v>
      </c>
      <c r="F4" t="inlineStr">
        <is>
          <t>주의(2σ)</t>
        </is>
      </c>
      <c r="G4" t="inlineStr">
        <is>
          <t>직접유입 3,640,000원(3.0σ)·인스타 3,276,000원. 전날 7/28 직접유입도 4,080,000원</t>
        </is>
      </c>
      <c r="H4" t="inlineStr">
        <is>
          <t>월말 재구매 유도(CRM 문자·앱푸시) 또는 기획전 시작</t>
        </is>
      </c>
      <c r="I4" t="inlineStr">
        <is>
          <t>7/28~7/29 CRM 발송·쿠폰 사용 내역 확인</t>
        </is>
      </c>
    </row>
    <row r="5">
      <c r="A5" t="inlineStr">
        <is>
          <t>2026-05-20</t>
        </is>
      </c>
      <c r="B5" t="inlineStr">
        <is>
          <t>수</t>
        </is>
      </c>
      <c r="C5" s="2" t="n">
        <v>2285000</v>
      </c>
      <c r="D5" s="2" t="n">
        <v>6679461.54</v>
      </c>
      <c r="E5" t="n">
        <v>-2.04</v>
      </c>
      <c r="F5" t="inlineStr">
        <is>
          <t>주의(2σ)</t>
        </is>
      </c>
      <c r="G5" t="inlineStr">
        <is>
          <t>6개 채널 세션이 모두 평소의 절반 아래(합계 3,481 · 90일 평균 7,366)</t>
        </is>
      </c>
      <c r="H5" t="inlineStr">
        <is>
          <t>사이트 장애 또는 분석 태그 누락(데이터 오류)</t>
        </is>
      </c>
      <c r="I5" t="inlineStr">
        <is>
          <t>5/20 결제대행사 일매출과 분석 도구 매출 대조</t>
        </is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날짜</t>
        </is>
      </c>
      <c r="B1" s="1" t="inlineStr">
        <is>
          <t>채널</t>
        </is>
      </c>
      <c r="C1" s="1" t="inlineStr">
        <is>
          <t>세션</t>
        </is>
      </c>
      <c r="D1" s="1" t="inlineStr">
        <is>
          <t>주문</t>
        </is>
      </c>
      <c r="E1" s="1" t="inlineStr">
        <is>
          <t>매출</t>
        </is>
      </c>
      <c r="F1" s="1" t="inlineStr">
        <is>
          <t>잔차(σ)</t>
        </is>
      </c>
    </row>
    <row r="2">
      <c r="A2" t="inlineStr">
        <is>
          <t>2026-05-31</t>
        </is>
      </c>
      <c r="B2" t="inlineStr">
        <is>
          <t>자연검색</t>
        </is>
      </c>
      <c r="C2" s="2" t="n">
        <v>2155</v>
      </c>
      <c r="D2" t="n">
        <v>58</v>
      </c>
      <c r="E2" s="2" t="n">
        <v>5278000</v>
      </c>
      <c r="F2" t="n">
        <v>4.14</v>
      </c>
    </row>
    <row r="3">
      <c r="A3" t="inlineStr">
        <is>
          <t>2026-05-08</t>
        </is>
      </c>
      <c r="B3" t="inlineStr">
        <is>
          <t>직접유입</t>
        </is>
      </c>
      <c r="C3" s="2" t="n">
        <v>1773</v>
      </c>
      <c r="D3" t="n">
        <v>47</v>
      </c>
      <c r="E3" s="2" t="n">
        <v>4277000</v>
      </c>
      <c r="F3" t="n">
        <v>3.36</v>
      </c>
    </row>
    <row r="4">
      <c r="A4" t="inlineStr">
        <is>
          <t>2026-06-19</t>
        </is>
      </c>
      <c r="B4" t="inlineStr">
        <is>
          <t>인스타</t>
        </is>
      </c>
      <c r="C4" s="2" t="n">
        <v>2019</v>
      </c>
      <c r="D4" t="n">
        <v>52</v>
      </c>
      <c r="E4" s="2" t="n">
        <v>4732000</v>
      </c>
      <c r="F4" t="n">
        <v>3.34</v>
      </c>
    </row>
    <row r="5">
      <c r="A5" t="inlineStr">
        <is>
          <t>2026-06-08</t>
        </is>
      </c>
      <c r="B5" t="inlineStr">
        <is>
          <t>메타광고</t>
        </is>
      </c>
      <c r="C5" s="2" t="n">
        <v>2376</v>
      </c>
      <c r="D5" t="n">
        <v>59</v>
      </c>
      <c r="E5" s="2" t="n">
        <v>5369000</v>
      </c>
      <c r="F5" t="n">
        <v>3.07</v>
      </c>
    </row>
    <row r="6">
      <c r="A6" t="inlineStr">
        <is>
          <t>2026-07-29</t>
        </is>
      </c>
      <c r="B6" t="inlineStr">
        <is>
          <t>직접유입</t>
        </is>
      </c>
      <c r="C6" s="2" t="n">
        <v>1698</v>
      </c>
      <c r="D6" t="n">
        <v>40</v>
      </c>
      <c r="E6" s="2" t="n">
        <v>3640000</v>
      </c>
      <c r="F6" t="n">
        <v>2.99</v>
      </c>
    </row>
    <row r="7">
      <c r="A7" t="inlineStr">
        <is>
          <t>2026-06-20</t>
        </is>
      </c>
      <c r="B7" t="inlineStr">
        <is>
          <t>유료검색</t>
        </is>
      </c>
      <c r="C7" s="2" t="n">
        <v>1662</v>
      </c>
      <c r="D7" t="n">
        <v>40</v>
      </c>
      <c r="E7" s="2" t="n">
        <v>3640000</v>
      </c>
      <c r="F7" t="n">
        <v>2.99</v>
      </c>
    </row>
    <row r="8">
      <c r="A8" t="inlineStr">
        <is>
          <t>2026-06-28</t>
        </is>
      </c>
      <c r="B8" t="inlineStr">
        <is>
          <t>뉴스레터</t>
        </is>
      </c>
      <c r="C8" s="2" t="n">
        <v>1851</v>
      </c>
      <c r="D8" t="n">
        <v>45</v>
      </c>
      <c r="E8" s="2" t="n">
        <v>4095000</v>
      </c>
      <c r="F8" t="n">
        <v>2.98</v>
      </c>
    </row>
    <row r="9">
      <c r="A9" t="inlineStr">
        <is>
          <t>2026-05-09</t>
        </is>
      </c>
      <c r="B9" t="inlineStr">
        <is>
          <t>뉴스레터</t>
        </is>
      </c>
      <c r="C9" s="2" t="n">
        <v>2321</v>
      </c>
      <c r="D9" t="n">
        <v>59</v>
      </c>
      <c r="E9" s="2" t="n">
        <v>4012000</v>
      </c>
      <c r="F9" t="n">
        <v>2.97</v>
      </c>
    </row>
    <row r="10">
      <c r="A10" t="inlineStr">
        <is>
          <t>2026-06-28</t>
        </is>
      </c>
      <c r="B10" t="inlineStr">
        <is>
          <t>인스타</t>
        </is>
      </c>
      <c r="C10" s="2" t="n">
        <v>2080</v>
      </c>
      <c r="D10" t="n">
        <v>49</v>
      </c>
      <c r="E10" s="2" t="n">
        <v>4459000</v>
      </c>
      <c r="F10" t="n">
        <v>2.96</v>
      </c>
    </row>
    <row r="11">
      <c r="A11" t="inlineStr">
        <is>
          <t>2026-05-22</t>
        </is>
      </c>
      <c r="B11" t="inlineStr">
        <is>
          <t>자연검색</t>
        </is>
      </c>
      <c r="C11" s="2" t="n">
        <v>2245</v>
      </c>
      <c r="D11" t="n">
        <v>45</v>
      </c>
      <c r="E11" s="2" t="n">
        <v>4095000</v>
      </c>
      <c r="F11" t="n">
        <v>2.89</v>
      </c>
    </row>
    <row r="12">
      <c r="A12" t="inlineStr">
        <is>
          <t>2026-06-03</t>
        </is>
      </c>
      <c r="B12" t="inlineStr">
        <is>
          <t>유료검색</t>
        </is>
      </c>
      <c r="C12" s="2" t="n">
        <v>2007</v>
      </c>
      <c r="D12" t="n">
        <v>55</v>
      </c>
      <c r="E12" s="2" t="n">
        <v>3740000</v>
      </c>
      <c r="F12" t="n">
        <v>2.76</v>
      </c>
    </row>
    <row r="13">
      <c r="A13" t="inlineStr">
        <is>
          <t>2026-05-15</t>
        </is>
      </c>
      <c r="B13" t="inlineStr">
        <is>
          <t>유료검색</t>
        </is>
      </c>
      <c r="C13" s="2" t="n">
        <v>2372</v>
      </c>
      <c r="D13" t="n">
        <v>59</v>
      </c>
      <c r="E13" s="2" t="n">
        <v>4012000</v>
      </c>
      <c r="F13" t="n">
        <v>2.73</v>
      </c>
    </row>
    <row r="14">
      <c r="A14" t="inlineStr">
        <is>
          <t>2026-05-12</t>
        </is>
      </c>
      <c r="B14" t="inlineStr">
        <is>
          <t>뉴스레터</t>
        </is>
      </c>
      <c r="C14" s="2" t="n">
        <v>2147</v>
      </c>
      <c r="D14" t="n">
        <v>56</v>
      </c>
      <c r="E14" s="2" t="n">
        <v>3808000</v>
      </c>
      <c r="F14" t="n">
        <v>2.7</v>
      </c>
    </row>
    <row r="15">
      <c r="A15" t="inlineStr">
        <is>
          <t>2026-07-28</t>
        </is>
      </c>
      <c r="B15" t="inlineStr">
        <is>
          <t>직접유입</t>
        </is>
      </c>
      <c r="C15" s="2" t="n">
        <v>2271</v>
      </c>
      <c r="D15" t="n">
        <v>60</v>
      </c>
      <c r="E15" s="2" t="n">
        <v>4080000</v>
      </c>
      <c r="F15" t="n">
        <v>2.55</v>
      </c>
    </row>
    <row r="17">
      <c r="A17" s="3" t="inlineStr">
        <is>
          <t>메모</t>
        </is>
      </c>
    </row>
    <row r="18">
      <c r="A18" t="inlineStr">
        <is>
          <t>채널×요일 평균 기준. 전체 이상치의 원인 짚기용.</t>
        </is>
      </c>
    </row>
  </sheetData>
  <autoFilter ref="A1:F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26" customWidth="1" min="12" max="12"/>
    <col width="12" customWidth="1" min="13" max="13"/>
  </cols>
  <sheetData>
    <row r="1">
      <c r="A1" s="1" t="inlineStr">
        <is>
          <t>캠페인</t>
        </is>
      </c>
      <c r="B1" s="1" t="inlineStr">
        <is>
          <t>목표</t>
        </is>
      </c>
      <c r="C1" s="1" t="inlineStr">
        <is>
          <t>노출</t>
        </is>
      </c>
      <c r="D1" s="1" t="inlineStr">
        <is>
          <t>클릭</t>
        </is>
      </c>
      <c r="E1" s="1" t="inlineStr">
        <is>
          <t>광고비</t>
        </is>
      </c>
      <c r="F1" s="1" t="inlineStr">
        <is>
          <t>전환</t>
        </is>
      </c>
      <c r="G1" s="1" t="inlineStr">
        <is>
          <t>매출</t>
        </is>
      </c>
      <c r="H1" s="1" t="inlineStr">
        <is>
          <t>CTR(%)</t>
        </is>
      </c>
      <c r="I1" s="1" t="inlineStr">
        <is>
          <t>전환율(%)</t>
        </is>
      </c>
      <c r="J1" s="1" t="inlineStr">
        <is>
          <t>ROAS</t>
        </is>
      </c>
      <c r="K1" s="1" t="inlineStr">
        <is>
          <t>CPA</t>
        </is>
      </c>
      <c r="L1" s="1" t="inlineStr">
        <is>
          <t>목표CPA 초과 지출</t>
        </is>
      </c>
      <c r="M1" s="1" t="inlineStr">
        <is>
          <t>판정</t>
        </is>
      </c>
    </row>
    <row r="2">
      <c r="A2" t="inlineStr">
        <is>
          <t>신규_관심사</t>
        </is>
      </c>
      <c r="B2" t="inlineStr">
        <is>
          <t>트래픽</t>
        </is>
      </c>
      <c r="C2" s="2" t="n">
        <v>842477</v>
      </c>
      <c r="D2" s="2" t="n">
        <v>16459</v>
      </c>
      <c r="E2" s="2" t="n">
        <v>20190203</v>
      </c>
      <c r="F2" t="n">
        <v>77</v>
      </c>
      <c r="G2" s="2" t="n">
        <v>4388000</v>
      </c>
      <c r="H2" t="n">
        <v>1.95</v>
      </c>
      <c r="I2" t="n">
        <v>0.47</v>
      </c>
      <c r="J2" t="n">
        <v>0.22</v>
      </c>
      <c r="K2" s="2" t="n">
        <v>262210.43</v>
      </c>
      <c r="M2" t="inlineStr">
        <is>
          <t>ROAS로 판정 안 함(목표 다름)</t>
        </is>
      </c>
    </row>
    <row r="3">
      <c r="A3" t="inlineStr">
        <is>
          <t>리타겟_장바구니</t>
        </is>
      </c>
      <c r="B3" t="inlineStr">
        <is>
          <t>전환</t>
        </is>
      </c>
      <c r="C3" s="2" t="n">
        <v>822939</v>
      </c>
      <c r="D3" s="2" t="n">
        <v>14812</v>
      </c>
      <c r="E3" s="2" t="n">
        <v>16451147</v>
      </c>
      <c r="F3" t="n">
        <v>417</v>
      </c>
      <c r="G3" s="2" t="n">
        <v>24139000</v>
      </c>
      <c r="H3" t="n">
        <v>1.8</v>
      </c>
      <c r="I3" t="n">
        <v>2.82</v>
      </c>
      <c r="J3" t="n">
        <v>1.47</v>
      </c>
      <c r="K3" s="2" t="n">
        <v>39451.19</v>
      </c>
      <c r="L3" s="2" t="n">
        <v>9916757</v>
      </c>
      <c r="M3" t="inlineStr">
        <is>
          <t>손익분기 미달</t>
        </is>
      </c>
    </row>
    <row r="4">
      <c r="A4" t="inlineStr">
        <is>
          <t>신제품_런칭_전환</t>
        </is>
      </c>
      <c r="B4" t="inlineStr">
        <is>
          <t>전환</t>
        </is>
      </c>
      <c r="C4" s="2" t="n">
        <v>729678</v>
      </c>
      <c r="D4" s="2" t="n">
        <v>12873</v>
      </c>
      <c r="E4" s="2" t="n">
        <v>16399186</v>
      </c>
      <c r="F4" t="n">
        <v>389</v>
      </c>
      <c r="G4" s="2" t="n">
        <v>19528000</v>
      </c>
      <c r="H4" t="n">
        <v>1.76</v>
      </c>
      <c r="I4" t="n">
        <v>3.02</v>
      </c>
      <c r="J4" t="n">
        <v>1.19</v>
      </c>
      <c r="K4" s="2" t="n">
        <v>42157.29</v>
      </c>
      <c r="L4" s="2" t="n">
        <v>10303556</v>
      </c>
      <c r="M4" t="inlineStr">
        <is>
          <t>손익분기 미달</t>
        </is>
      </c>
    </row>
    <row r="5">
      <c r="A5" t="inlineStr">
        <is>
          <t>브랜드_인지_영상</t>
        </is>
      </c>
      <c r="B5" t="inlineStr">
        <is>
          <t>인지</t>
        </is>
      </c>
      <c r="C5" s="2" t="n">
        <v>816281</v>
      </c>
      <c r="D5" s="2" t="n">
        <v>14509</v>
      </c>
      <c r="E5" s="2" t="n">
        <v>14747608</v>
      </c>
      <c r="F5" t="n">
        <v>73</v>
      </c>
      <c r="G5" s="2" t="n">
        <v>3707000</v>
      </c>
      <c r="H5" t="n">
        <v>1.78</v>
      </c>
      <c r="I5" t="n">
        <v>0.5</v>
      </c>
      <c r="J5" t="n">
        <v>0.25</v>
      </c>
      <c r="K5" s="2" t="n">
        <v>202022.03</v>
      </c>
      <c r="M5" t="inlineStr">
        <is>
          <t>ROAS로 판정 안 함(목표 다름)</t>
        </is>
      </c>
    </row>
    <row r="7">
      <c r="A7" s="3" t="inlineStr">
        <is>
          <t>메모</t>
        </is>
      </c>
    </row>
    <row r="8">
      <c r="A8" t="inlineStr">
        <is>
          <t>기간 2026-07-01~07-29(판매 자료와 겹치는 날).</t>
        </is>
      </c>
    </row>
    <row r="9">
      <c r="A9" t="inlineStr">
        <is>
          <t>인지·트래픽 캠페인은 목표가 달라 ROAS·CPA로 판정하지 않습니다.</t>
        </is>
      </c>
    </row>
  </sheetData>
  <autoFilter ref="A1:M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목표</t>
        </is>
      </c>
      <c r="B1" s="1" t="inlineStr">
        <is>
          <t>광고비</t>
        </is>
      </c>
      <c r="C1" s="1" t="inlineStr">
        <is>
          <t>전환</t>
        </is>
      </c>
      <c r="D1" s="1" t="inlineStr">
        <is>
          <t>매출</t>
        </is>
      </c>
      <c r="E1" s="1" t="inlineStr">
        <is>
          <t>ROAS</t>
        </is>
      </c>
      <c r="F1" s="1" t="inlineStr">
        <is>
          <t>광고비 비중(%)</t>
        </is>
      </c>
    </row>
    <row r="2">
      <c r="A2" t="inlineStr">
        <is>
          <t>인지</t>
        </is>
      </c>
      <c r="B2" s="2" t="n">
        <v>14747608</v>
      </c>
      <c r="C2" t="n">
        <v>73</v>
      </c>
      <c r="D2" s="2" t="n">
        <v>3707000</v>
      </c>
      <c r="E2" t="n">
        <v>0.25</v>
      </c>
      <c r="F2" t="n">
        <v>21.76</v>
      </c>
    </row>
    <row r="3">
      <c r="A3" t="inlineStr">
        <is>
          <t>전환</t>
        </is>
      </c>
      <c r="B3" s="2" t="n">
        <v>32850333</v>
      </c>
      <c r="C3" t="n">
        <v>806</v>
      </c>
      <c r="D3" s="2" t="n">
        <v>43667000</v>
      </c>
      <c r="E3" t="n">
        <v>1.33</v>
      </c>
      <c r="F3" t="n">
        <v>48.46</v>
      </c>
    </row>
    <row r="4">
      <c r="A4" t="inlineStr">
        <is>
          <t>트래픽</t>
        </is>
      </c>
      <c r="B4" s="2" t="n">
        <v>20190203</v>
      </c>
      <c r="C4" t="n">
        <v>77</v>
      </c>
      <c r="D4" s="2" t="n">
        <v>4388000</v>
      </c>
      <c r="E4" t="n">
        <v>0.22</v>
      </c>
      <c r="F4" t="n">
        <v>29.78</v>
      </c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점검</t>
        </is>
      </c>
      <c r="B1" s="1" t="inlineStr">
        <is>
          <t>값</t>
        </is>
      </c>
      <c r="C1" s="1" t="inlineStr">
        <is>
          <t>메모</t>
        </is>
      </c>
    </row>
    <row r="2">
      <c r="A2" t="inlineStr">
        <is>
          <t>판매 자료 행 수</t>
        </is>
      </c>
      <c r="B2" t="n">
        <v>540</v>
      </c>
      <c r="C2" t="inlineStr">
        <is>
          <t>날짜×채널 중복 0건</t>
        </is>
      </c>
    </row>
    <row r="3">
      <c r="A3" t="inlineStr">
        <is>
          <t>판매 자료 기간</t>
        </is>
      </c>
      <c r="B3" t="inlineStr">
        <is>
          <t>2026-05-01~2026-07-29</t>
        </is>
      </c>
      <c r="C3" t="inlineStr">
        <is>
          <t>90일 · 빠진 날 0일</t>
        </is>
      </c>
    </row>
    <row r="4">
      <c r="A4" t="inlineStr">
        <is>
          <t>빈 칸</t>
        </is>
      </c>
      <c r="B4" t="n">
        <v>0</v>
      </c>
      <c r="C4" t="inlineStr">
        <is>
          <t>두 파일 모두</t>
        </is>
      </c>
    </row>
    <row r="5">
      <c r="A5" t="inlineStr">
        <is>
          <t>광고 자료 기간</t>
        </is>
      </c>
      <c r="B5" t="inlineStr">
        <is>
          <t>2026-07-01~2026-07-30</t>
        </is>
      </c>
      <c r="C5" t="inlineStr">
        <is>
          <t>7/30 1일은 비교에서 뺌</t>
        </is>
      </c>
    </row>
    <row r="6">
      <c r="A6" t="inlineStr">
        <is>
          <t>메타광고 매출 · 판매 자료</t>
        </is>
      </c>
      <c r="B6" s="2" t="n">
        <v>33737000</v>
      </c>
      <c r="C6" t="inlineStr">
        <is>
          <t>7/1~7/29 · 사이트가 잡은 채널 매출</t>
        </is>
      </c>
    </row>
    <row r="7">
      <c r="A7" t="inlineStr">
        <is>
          <t>메타광고 매출 · 광고 자료</t>
        </is>
      </c>
      <c r="B7" s="2" t="n">
        <v>51762000</v>
      </c>
      <c r="C7" t="inlineStr">
        <is>
          <t>7/1~7/29 · 메타가 스스로 잡은 전환매출</t>
        </is>
      </c>
    </row>
    <row r="8">
      <c r="A8" t="inlineStr">
        <is>
          <t>차이</t>
        </is>
      </c>
      <c r="B8" s="2" t="n">
        <v>18025000</v>
      </c>
      <c r="C8" t="inlineStr">
        <is>
          <t>[자료 충돌] 잡는 방식이 달라 합계가 다름 · 기준 확정 전까지 의존도는 두 값으로 표시</t>
        </is>
      </c>
    </row>
    <row r="9">
      <c r="A9" t="inlineStr">
        <is>
          <t>프로필 객단가 vs 자료 객단가</t>
        </is>
      </c>
      <c r="B9" t="inlineStr">
        <is>
          <t>47,000원 vs 64,152원(7월)</t>
        </is>
      </c>
      <c r="C9" t="inlineStr">
        <is>
          <t>샘플 프로필과 샘플 판매 자료가 서로 맞지 않음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2026-09-15T13:14:19Z</dcterms:created>
  <dcterms:modified xmlns:dcterms="http://purl.org/dc/terms/" xmlns:xsi="http://www.w3.org/2001/XMLSchema-instance" xsi:type="dcterms:W3CDTF">2026-09-15T13:14:19Z</dcterms:modified>
</cp:coreProperties>
</file>